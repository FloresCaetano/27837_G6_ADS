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aeta\Documents\6to\27837_G6_ADS\PREGAME\1. ELICITACION\1.6 Backlog\"/>
    </mc:Choice>
  </mc:AlternateContent>
  <xr:revisionPtr revIDLastSave="0" documentId="8_{23EA1214-35FF-471A-9323-2D6E663BE63C}" xr6:coauthVersionLast="47" xr6:coauthVersionMax="47" xr10:uidLastSave="{00000000-0000-0000-0000-000000000000}"/>
  <bookViews>
    <workbookView xWindow="28680" yWindow="-120" windowWidth="29040" windowHeight="16440" activeTab="3" xr2:uid="{00000000-000D-0000-FFFF-FFFF00000000}"/>
  </bookViews>
  <sheets>
    <sheet name="Data" sheetId="4" r:id="rId1"/>
    <sheet name="Backlog" sheetId="1" r:id="rId2"/>
    <sheet name="sprint0" sheetId="2" r:id="rId3"/>
    <sheet name="burdonchart"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oWtFQ1tWv0Sg2ONoGucA39mJyVyp+tZEzqkOZStHocs="/>
    </ext>
  </extLst>
</workbook>
</file>

<file path=xl/calcChain.xml><?xml version="1.0" encoding="utf-8"?>
<calcChain xmlns="http://schemas.openxmlformats.org/spreadsheetml/2006/main">
  <c r="C12" i="3" l="1"/>
  <c r="I12" i="3"/>
  <c r="C13" i="3"/>
  <c r="I13" i="3"/>
  <c r="C14" i="3"/>
  <c r="I14" i="3"/>
  <c r="C8" i="3"/>
  <c r="I8" i="3"/>
  <c r="C9" i="3"/>
  <c r="I9" i="3"/>
  <c r="C10" i="3"/>
  <c r="I10" i="3"/>
  <c r="C7" i="3"/>
  <c r="I7" i="3"/>
  <c r="C11" i="3"/>
  <c r="I11" i="3"/>
  <c r="C4" i="3"/>
  <c r="I4" i="3"/>
  <c r="C5" i="3"/>
  <c r="I5" i="3"/>
  <c r="C6" i="3"/>
  <c r="I6" i="3"/>
  <c r="K8" i="2"/>
  <c r="K13" i="2"/>
  <c r="K4" i="2"/>
  <c r="B3" i="1"/>
  <c r="C3" i="1"/>
  <c r="D3" i="1"/>
  <c r="E3" i="1"/>
  <c r="F3" i="1"/>
  <c r="B5" i="1"/>
  <c r="C5" i="1"/>
  <c r="D5" i="1"/>
  <c r="E5" i="1"/>
  <c r="F5" i="1"/>
  <c r="B6" i="1"/>
  <c r="C6" i="1"/>
  <c r="D6" i="1"/>
  <c r="E6" i="1"/>
  <c r="F6" i="1"/>
  <c r="B7" i="1"/>
  <c r="C7" i="1"/>
  <c r="D7" i="1"/>
  <c r="E7" i="1"/>
  <c r="F7" i="1"/>
  <c r="B8" i="1"/>
  <c r="C8" i="1"/>
  <c r="D8" i="1"/>
  <c r="E8" i="1"/>
  <c r="F8" i="1"/>
  <c r="B9" i="1"/>
  <c r="C9" i="1"/>
  <c r="D9" i="1"/>
  <c r="E9" i="1"/>
  <c r="F9" i="1"/>
  <c r="B10" i="1"/>
  <c r="C10" i="1"/>
  <c r="D10" i="1"/>
  <c r="E10" i="1"/>
  <c r="F10" i="1"/>
  <c r="B11" i="1"/>
  <c r="C11" i="1"/>
  <c r="D11" i="1"/>
  <c r="E11" i="1"/>
  <c r="F11" i="1"/>
  <c r="B12" i="1"/>
  <c r="C12" i="1"/>
  <c r="D12" i="1"/>
  <c r="E12" i="1"/>
  <c r="F12" i="1"/>
  <c r="B13" i="1"/>
  <c r="C13" i="1"/>
  <c r="D13" i="1"/>
  <c r="E13" i="1"/>
  <c r="F13" i="1"/>
  <c r="B14" i="1"/>
  <c r="C14" i="1"/>
  <c r="D14" i="1"/>
  <c r="E14" i="1"/>
  <c r="F14" i="1"/>
  <c r="B15" i="1"/>
  <c r="C15" i="1"/>
  <c r="D15" i="1"/>
  <c r="E15" i="1"/>
  <c r="F15" i="1"/>
  <c r="B16" i="1"/>
  <c r="C16" i="1"/>
  <c r="D16" i="1"/>
  <c r="E16" i="1"/>
  <c r="F16" i="1"/>
  <c r="B17" i="1"/>
  <c r="C17" i="1"/>
  <c r="D17" i="1"/>
  <c r="E17" i="1"/>
  <c r="F17" i="1"/>
  <c r="B18" i="1"/>
  <c r="C18" i="1"/>
  <c r="D18" i="1"/>
  <c r="E18" i="1"/>
  <c r="F18" i="1"/>
  <c r="F4" i="1"/>
  <c r="E4" i="1"/>
  <c r="D4" i="1"/>
  <c r="C4" i="1"/>
  <c r="B4" i="1"/>
  <c r="C20" i="3" l="1"/>
  <c r="D20" i="3" s="1"/>
  <c r="E20" i="3" s="1"/>
  <c r="F20" i="3" s="1"/>
  <c r="G20" i="3" s="1"/>
  <c r="H20" i="3" s="1"/>
  <c r="C19" i="3"/>
  <c r="D19" i="3" s="1"/>
  <c r="E19" i="3" s="1"/>
  <c r="F19" i="3" s="1"/>
  <c r="G19" i="3" s="1"/>
  <c r="H19" i="3" s="1"/>
</calcChain>
</file>

<file path=xl/sharedStrings.xml><?xml version="1.0" encoding="utf-8"?>
<sst xmlns="http://schemas.openxmlformats.org/spreadsheetml/2006/main" count="427" uniqueCount="239">
  <si>
    <t>Tema</t>
  </si>
  <si>
    <t>Como un..</t>
  </si>
  <si>
    <t>necesito</t>
  </si>
  <si>
    <t>asi podre...</t>
  </si>
  <si>
    <t>notas</t>
  </si>
  <si>
    <t>prioridad</t>
  </si>
  <si>
    <t>estatus</t>
  </si>
  <si>
    <t>REQ001</t>
  </si>
  <si>
    <t>Alta</t>
  </si>
  <si>
    <t>En Proceso</t>
  </si>
  <si>
    <t>REQ002</t>
  </si>
  <si>
    <t>REQ003</t>
  </si>
  <si>
    <t>REQ004</t>
  </si>
  <si>
    <t>Media</t>
  </si>
  <si>
    <t>REQ005</t>
  </si>
  <si>
    <t>ID</t>
  </si>
  <si>
    <t>Necesito</t>
  </si>
  <si>
    <t>así podre...</t>
  </si>
  <si>
    <t>encargado</t>
  </si>
  <si>
    <t>Prioridad</t>
  </si>
  <si>
    <t>Status</t>
  </si>
  <si>
    <t>Estimado</t>
  </si>
  <si>
    <t>Dia 5</t>
  </si>
  <si>
    <t>Dia 4</t>
  </si>
  <si>
    <t>Dia 3</t>
  </si>
  <si>
    <t>Dia 2</t>
  </si>
  <si>
    <t>Dia 1</t>
  </si>
  <si>
    <t>Total de Horas</t>
  </si>
  <si>
    <t>Horas Estimadas</t>
  </si>
  <si>
    <t>Horas Estimadas
Restantes</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</si>
  <si>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</si>
  <si>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</si>
  <si>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</si>
  <si>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</si>
  <si>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</si>
  <si>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</si>
  <si>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</si>
  <si>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</si>
  <si>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</si>
  <si>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</si>
  <si>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</si>
  <si>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</si>
  <si>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</si>
  <si>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</si>
  <si>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El sistema debe permitir registrar productos nuevos</t>
  </si>
  <si>
    <t>Registrar nombre, precios, país de origen, stock e imagen del producto</t>
  </si>
  <si>
    <t>Propietario</t>
  </si>
  <si>
    <t>Ingresar datos del producto en formulario, el sistema genera código automático y valida información antes de guardar</t>
  </si>
  <si>
    <t>Leonardo Narvaez</t>
  </si>
  <si>
    <t>No iniciado</t>
  </si>
  <si>
    <t>Validar campos obligatorios, rangos de precios (0.01-99.99), stock mayor a 0. Verificar código único generado y mensaje de confirmación.</t>
  </si>
  <si>
    <t>Códigos de producto no se reutilizan al eliminar</t>
  </si>
  <si>
    <t>Registrar Producto</t>
  </si>
  <si>
    <t>El sistema debe permitir actualizar datos de productos registrados</t>
  </si>
  <si>
    <t>Modificar nombre, precios, país, stock o imagen de productos existentes</t>
  </si>
  <si>
    <t>Seleccionar producto de lista, editar campos en formulario y guardar cambios validados</t>
  </si>
  <si>
    <t>Caetano Flores</t>
  </si>
  <si>
    <t>Validar que actualización cumpla mismas reglas que registro. Stock no puede ser negativo. Mensaje de confirmación al actualizar.</t>
  </si>
  <si>
    <t>Permite incrementos y decrementos de stock con validaciones</t>
  </si>
  <si>
    <t>Actualizar Producto</t>
  </si>
  <si>
    <t>El sistema debe permitir consultar información de productos</t>
  </si>
  <si>
    <t>Buscar productos por nombre o código y visualizar su información completa</t>
  </si>
  <si>
    <t>Ingresar criterio de búsqueda (nombre o código), sistema muestra resultados coincidentes</t>
  </si>
  <si>
    <t>AnthonyMorales</t>
  </si>
  <si>
    <t>Búsqueda por código exacto muestra un producto. Búsqueda por nombre muestra coincidencias parciales. Mensaje si no hay resultados.</t>
  </si>
  <si>
    <t>Búsqueda por código prioritaria si tiene formato letra+dígitos</t>
  </si>
  <si>
    <t>Consultar Producto</t>
  </si>
  <si>
    <t>El sistema debe permitir desactivar productos</t>
  </si>
  <si>
    <t>Marcar productos como inactivos sin eliminarlos físicamente</t>
  </si>
  <si>
    <t>Seleccionar producto, confirmar eliminación, sistema actualiza estado a Inactivo</t>
  </si>
  <si>
    <t>Producto marcado como Inactivo no aparece en selecciones futuras pero conserva historial. Confirmación de desactivación exitosa.</t>
  </si>
  <si>
    <t>Código del producto no se libera para reutilización</t>
  </si>
  <si>
    <t>Eliminar Producto</t>
  </si>
  <si>
    <t>El sistema debe permitir registrar clientes nuevos</t>
  </si>
  <si>
    <t>Registrar nombre, identificación, correo, teléfono y dirección del cliente</t>
  </si>
  <si>
    <t>Ingresar datos del cliente en formulario, validar formatos y guardar en base de datos</t>
  </si>
  <si>
    <t>Validar campos obligatorios, formato de cédula/RUC/pasaporte, email y teléfono válidos. Identificación única. Mensaje de confirmación.</t>
  </si>
  <si>
    <t>Todos los campos son obligatorios</t>
  </si>
  <si>
    <t>Registrar Cliente</t>
  </si>
  <si>
    <t>REQ006</t>
  </si>
  <si>
    <t>El sistema debe permitir actualizar datos de clientes</t>
  </si>
  <si>
    <t>Modificar información de clientes registrados</t>
  </si>
  <si>
    <t>Seleccionar cliente de lista, editar campos y guardar cambios validados</t>
  </si>
  <si>
    <t>Validar mismas reglas que registro. Verificar formatos de identificación, email y teléfono. Mensaje de confirmación.</t>
  </si>
  <si>
    <t/>
  </si>
  <si>
    <t>Actualizar Cliente</t>
  </si>
  <si>
    <t>REQ007</t>
  </si>
  <si>
    <t>El sistema debe permitir consultar información de clientes</t>
  </si>
  <si>
    <t>Buscar clientes por nombre o identificación</t>
  </si>
  <si>
    <t>Ingresar criterio de búsqueda, sistema muestra resultados coincidentes</t>
  </si>
  <si>
    <t>Búsqueda exacta o parcial muestra clientes coincidentes. Mensaje si no hay resultados.</t>
  </si>
  <si>
    <t>Consultar Cliente</t>
  </si>
  <si>
    <t>REQ008</t>
  </si>
  <si>
    <t>El sistema debe permitir desactivar clientes</t>
  </si>
  <si>
    <t>Marcar clientes como inactivos lógicamente</t>
  </si>
  <si>
    <t>Seleccionar cliente, confirmar eliminación, actualizar estado a Inactivo</t>
  </si>
  <si>
    <t>Cliente marcado Inactivo no disponible para nuevos pedidos. Historial se conserva. Mensaje de confirmación.</t>
  </si>
  <si>
    <t>Puede alternarse vista entre clientes Activos e Inactivos</t>
  </si>
  <si>
    <t>Eliminar Cliente</t>
  </si>
  <si>
    <t>REQ009</t>
  </si>
  <si>
    <t>El sistema debe permitir registrar pedidos nuevos</t>
  </si>
  <si>
    <t>Asociar cliente, productos, cantidades y calcular totales del pedido</t>
  </si>
  <si>
    <t>Seleccionar cliente y productos, especificar cantidades, sistema calcula totales y guarda pedido</t>
  </si>
  <si>
    <t>Validar cliente seleccionado, productos con cantidad mayor a 0, stock disponible, formato de fecha DD/MM/AAAA. Confirmación y ID único generado.</t>
  </si>
  <si>
    <t>Fecha auto-completada con fecha actual pero editable</t>
  </si>
  <si>
    <t>Registrar Pedido</t>
  </si>
  <si>
    <t>REQ010</t>
  </si>
  <si>
    <t>El sistema debe permitir actualizar pedidos existentes</t>
  </si>
  <si>
    <t>Modificar cliente o productos de un pedido registrado</t>
  </si>
  <si>
    <t>Seleccionar pedido, editar datos, sistema recalcula totales y actualiza inventario</t>
  </si>
  <si>
    <t>Validar cliente y productos válidos, stock disponible para aumentos. Recalculo correcto de totales. Mensaje de confirmación.</t>
  </si>
  <si>
    <t>Ajusta inventario por aumentos o disminuciones de cantidades</t>
  </si>
  <si>
    <t>Actualizar Pedido</t>
  </si>
  <si>
    <t>REQ011</t>
  </si>
  <si>
    <t>El sistema debe permitir consultar información de pedidos</t>
  </si>
  <si>
    <t>Buscar y visualizar detalles de pedidos por filtros</t>
  </si>
  <si>
    <t>Aplicar filtros (ID, cliente, fechas, estado), sistema muestra resultados</t>
  </si>
  <si>
    <t>Jordan Guaman</t>
  </si>
  <si>
    <t>Filtros funcionan correctamente. Visualización completa de información del pedido. Mensaje si no hay resultados.</t>
  </si>
  <si>
    <t>Interfaz intuitiva para filtrado</t>
  </si>
  <si>
    <t>Consultar Pedido</t>
  </si>
  <si>
    <t>REQ012</t>
  </si>
  <si>
    <t>El sistema debe permitir eliminar pedidos</t>
  </si>
  <si>
    <t>Cancelar pedidos y revertir cambios en inventario</t>
  </si>
  <si>
    <t>Seleccionar pedido, confirmar eliminación, actualizar estado a Cancelado y revertir stock</t>
  </si>
  <si>
    <t>Pedido marcado como Cancelado. Stock revertido correctamente. Historial conservado. Mensaje de confirmación.</t>
  </si>
  <si>
    <t>Eliminación lógica que conserva historial</t>
  </si>
  <si>
    <t>Eliminar Pedido</t>
  </si>
  <si>
    <t>REQ013</t>
  </si>
  <si>
    <t>El sistema debe permitir controlar el estado de pedidos</t>
  </si>
  <si>
    <t>Actualizar estado del pedido según avance</t>
  </si>
  <si>
    <t>Seleccionar pedido, elegir nuevo estado de opciones permitidas, actualizar</t>
  </si>
  <si>
    <t>Validar transiciones permitidas entre estados. No permitir cambios desde Completado o Cancelado. Mensaje de confirmación.</t>
  </si>
  <si>
    <t>Estados: Pendiente, En Proceso, En Espera, Completado, Cancelado</t>
  </si>
  <si>
    <t>Controlar Estado de Pedido</t>
  </si>
  <si>
    <t>REQ014</t>
  </si>
  <si>
    <t>El sistema debe permitir generar reportes de pedidos</t>
  </si>
  <si>
    <t>Exportar datos de pedidos filtrados a archivo Excel</t>
  </si>
  <si>
    <t>Aplicar filtros deseados, generar reporte, descargar archivo Excel con información completa</t>
  </si>
  <si>
    <t>Archivo Excel generado con información correcta según filtros. Incluye datos de pedido, cliente, productos, totales y resúmenes.</t>
  </si>
  <si>
    <t>Incluye agregados como total de ventas y productos vendidos</t>
  </si>
  <si>
    <t>Generar Reporte de Pedidos</t>
  </si>
  <si>
    <t>REQ015</t>
  </si>
  <si>
    <t>El sistema debe permitir crear mezclas personalizadas</t>
  </si>
  <si>
    <t>Seleccionar productos, especificar cantidades y calcular precio total de mezcla</t>
  </si>
  <si>
    <t>Seleccionar productos, ingresar cantidades en libras, sistema calcula precio dinámicamente</t>
  </si>
  <si>
    <t>Productos añadidos correctamente. Cantidades válidas y stock disponible. Cálculo de precio correcto. Opciones de guardar o agregar a pedido funcionan.</t>
  </si>
  <si>
    <t>Nombre de mezcla: 3-25 caracteres alfanuméricos</t>
  </si>
  <si>
    <t>Crear Nueva Mezcla Personalizada</t>
  </si>
  <si>
    <t>REQ016</t>
  </si>
  <si>
    <t>El sistema debe permitir consultar mezclas personalizadas</t>
  </si>
  <si>
    <t>Visualizar mezclas guardadas y recibir recomendaciones</t>
  </si>
  <si>
    <t>Ver mezclas predefinidas y guardadas, recibir sugerencias, ajustar cantidades</t>
  </si>
  <si>
    <t>Mezclas guardadas se muestran correctamente. Recomendaciones basadas en historial. Cálculos dinámicos de precio y nutrición funcionan.</t>
  </si>
  <si>
    <t>Recomendaciones simples basadas en compras frecuentes</t>
  </si>
  <si>
    <t>Consultar Mezclas Personalizadas</t>
  </si>
  <si>
    <t>REQ017</t>
  </si>
  <si>
    <t>El sistema debe permitir guardar mezclas personalizadas</t>
  </si>
  <si>
    <t>Almacenar mezclas diseñadas para uso futuro</t>
  </si>
  <si>
    <t>Diseñar mezcla, ingresar nombre único, guardar en perfil</t>
  </si>
  <si>
    <t>Nombre no vacío y no excede 100 caracteres. Mezcla guardada en base de datos. Mensaje de confirmación.</t>
  </si>
  <si>
    <t>Mezclas guardadas no afectan stock hasta usarse en pedido</t>
  </si>
  <si>
    <t>Guardar Mezcla Personalizada</t>
  </si>
  <si>
    <t xml:space="preserve">Media </t>
  </si>
  <si>
    <t>Baja</t>
  </si>
  <si>
    <t>Gestionar el inventario y controlar productos disponibles</t>
  </si>
  <si>
    <t>Mantener actualizada la información del inventario</t>
  </si>
  <si>
    <t>Revisar disponibilidad y detalles de productos registrados</t>
  </si>
  <si>
    <t>Mantener historial y evitar uso en nuevas transacciones</t>
  </si>
  <si>
    <t>Gestionar ventas y controlar inventario</t>
  </si>
  <si>
    <t>Revisar historial y estado de pedidos</t>
  </si>
  <si>
    <t>Anular pedidos incorrectos y restaurar stock</t>
  </si>
  <si>
    <t>Revisar información de clientes registrados</t>
  </si>
  <si>
    <t>Gestionar información de clientes y asociarlos a pedidos</t>
  </si>
  <si>
    <t>Mantener datos de clientes actualizados</t>
  </si>
  <si>
    <t>Excluirlos de nuevas selecciones pero mantener historial</t>
  </si>
  <si>
    <t>Corregir errores o ajustar pedidos antes de completarlos</t>
  </si>
  <si>
    <t>Seguimiento del proceso de cada pedido</t>
  </si>
  <si>
    <t>Análisis de ventas y toma de decisiones</t>
  </si>
  <si>
    <t>Ofrecer productos personalizados a clientes</t>
  </si>
  <si>
    <t>Reutilizar mezclas y sugerir combinaciones basadas en historial</t>
  </si>
  <si>
    <t>Reutilizar combinaciones favoritas en pedidos futuros</t>
  </si>
  <si>
    <t>REQ001-1</t>
  </si>
  <si>
    <t>Diseño del modelo de datos</t>
  </si>
  <si>
    <t>Implementación de la base de datos en SQLite</t>
  </si>
  <si>
    <t>Desarrollo de la interfaz de listado de productos</t>
  </si>
  <si>
    <t>REQ001-2</t>
  </si>
  <si>
    <t>REQ001-3</t>
  </si>
  <si>
    <t>Definir la estructura de las tablas, campos, relaciones y restricciones del sistema.</t>
  </si>
  <si>
    <t>Asegurar que la información se almacene de forma correcta y escalable.</t>
  </si>
  <si>
    <t>Incluir entidades de productos, categorías y relaciones básicas. Validar normalización.</t>
  </si>
  <si>
    <t>Crear físicamente la base de datos usando el modelo definido.</t>
  </si>
  <si>
    <t>Guardar y consultar datos reales desde la aplicación.</t>
  </si>
  <si>
    <t>Usar SQLite por ser liviano y portable. Crear scripts de creación.</t>
  </si>
  <si>
    <t>Construir una pantalla donde se visualicen los productos.</t>
  </si>
  <si>
    <t>Mostrar información al usuario de forma clara e interactiva.</t>
  </si>
  <si>
    <t>Incluir scroll y busqueda</t>
  </si>
  <si>
    <t>Selección de producto desde la lista</t>
  </si>
  <si>
    <t>Formulario de edición de producto</t>
  </si>
  <si>
    <t>Validación de datos de edición</t>
  </si>
  <si>
    <t>Actualización en base de datos</t>
  </si>
  <si>
    <t>REQ002-1</t>
  </si>
  <si>
    <t>REQ002-2</t>
  </si>
  <si>
    <t>REQ002-3</t>
  </si>
  <si>
    <t>REQ002-4</t>
  </si>
  <si>
    <t>Seleccionar un producto desde el listado</t>
  </si>
  <si>
    <t>Mostrar los datos del producto en un formulario editable</t>
  </si>
  <si>
    <t>Validar campos antes de guardar cambios</t>
  </si>
  <si>
    <t>Guardar los cambios del producto editado</t>
  </si>
  <si>
    <t>Identificar correctamente el producto a modificar</t>
  </si>
  <si>
    <t>Modificar la información de forma controlada</t>
  </si>
  <si>
    <t>Evitar errores e inconsistencias</t>
  </si>
  <si>
    <t>Mantener la base de datos actualizada</t>
  </si>
  <si>
    <t>Resaltar producto seleccionado</t>
  </si>
  <si>
    <t>Bloquear edición del código</t>
  </si>
  <si>
    <t>Stock no negativo, campos obligatorios</t>
  </si>
  <si>
    <t>Usar transacciones</t>
  </si>
  <si>
    <t>REQ003-1</t>
  </si>
  <si>
    <t>REQ003-2</t>
  </si>
  <si>
    <t>REQ003-3</t>
  </si>
  <si>
    <t>REQ003-4</t>
  </si>
  <si>
    <t>Formulario de registro de producto</t>
  </si>
  <si>
    <t>Generación automática de código</t>
  </si>
  <si>
    <t>Validación de datos de registro</t>
  </si>
  <si>
    <t>Almacenamiento en base de datos</t>
  </si>
  <si>
    <t>Ingresar datos del producto mediante un formulario</t>
  </si>
  <si>
    <t>Generar un código único automático</t>
  </si>
  <si>
    <t>Validar la información antes de guardar</t>
  </si>
  <si>
    <t>Guardar el producto en la base de datos</t>
  </si>
  <si>
    <t>Capturar correctamente la información</t>
  </si>
  <si>
    <t>Evitar duplicación de productos</t>
  </si>
  <si>
    <t>Prevenir registros incorrectos</t>
  </si>
  <si>
    <t>Persistir la información correctamente</t>
  </si>
  <si>
    <t>Campos obligatorios</t>
  </si>
  <si>
    <t>Formato letra+dígitos</t>
  </si>
  <si>
    <t>No permitir campos vacíos</t>
  </si>
  <si>
    <t>Usar transacción segura</t>
  </si>
  <si>
    <t>AnthonyMorales / Jordan Guaman</t>
  </si>
  <si>
    <t>El Sprint concluyó con un resultado altamente exitoso y una predictibilidad excepcional, ya que el equipo logró completar el 100% de las 35 Horas Estimadas dentro de los 7 días planificados, alcanzando la meta de 0 horas restantes. El equipo mantuvo un ritmo de progreso notablemente uniforme, completando un promedio constante de 7 horas de esfuerzo por día, lo cual se refleja en que la línea de progreso real en el Burndown Chart se mantuvo consistentemente alineada con la línea ideal, indicando un flujo de trabajo estable, libre de estancamientos o sobrecargas tardías, y sirviendo este Sprint como un modelo de rendimiento óptimo para la calibración futura de la capacidad.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</si>
</sst>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3" x14ac:knownFonts="1">
    <font>
      <sz val="10"/>
      <color rgb="FF000000"/>
      <name val="Arial"/>
      <scheme val="minor"/>
    </font>
    <font>
      <b/>
      <sz val="12"/>
      <color rgb="FFFF0000"/>
      <name val="Arial"/>
    </font>
    <font>
      <sz val="12"/>
      <color rgb="FFFF0000"/>
      <name val="Arial"/>
    </font>
    <font>
      <sz val="10"/>
      <color rgb="FF2F5496"/>
      <name val="Arial"/>
    </font>
    <font>
      <sz val="10"/>
      <color rgb="FF0000FF"/>
      <name val="Arial"/>
    </font>
    <font>
      <sz val="10"/>
      <color theme="1"/>
      <name val="Arial"/>
    </font>
    <font>
      <b/>
      <sz val="10"/>
      <color theme="1"/>
      <name val="Arial"/>
    </font>
    <font>
      <sz val="10"/>
      <color rgb="FF000000"/>
      <name val="Arial"/>
    </font>
    <font>
      <b/>
      <i/>
      <sz val="11"/>
      <color rgb="FF9C6500"/>
      <name val="Arial Narrow"/>
    </font>
    <font>
      <sz val="10"/>
      <color theme="1"/>
      <name val="Arial Narrow"/>
    </font>
    <font>
      <sz val="10"/>
      <color rgb="FF000000"/>
      <name val="Arial Narrow"/>
    </font>
    <font>
      <sz val="11"/>
      <color theme="1"/>
      <name val="Arial Narrow"/>
    </font>
    <font>
      <sz val="8"/>
      <name val="Arial"/>
      <scheme val="minor"/>
    </font>
  </fonts>
  <fills count="8">
    <fill>
      <patternFill patternType="none"/>
    </fill>
    <fill>
      <patternFill patternType="gray125"/>
    </fill>
    <fill>
      <patternFill patternType="solid">
        <fgColor rgb="FFFFFFFF"/>
        <bgColor rgb="FFFFFFFF"/>
      </patternFill>
    </fill>
    <fill>
      <patternFill patternType="solid">
        <fgColor rgb="FF6AA84F"/>
        <bgColor rgb="FF6AA84F"/>
      </patternFill>
    </fill>
    <fill>
      <patternFill patternType="solid">
        <fgColor rgb="FF00FF00"/>
        <bgColor rgb="FF00FF00"/>
      </patternFill>
    </fill>
    <fill>
      <patternFill patternType="solid">
        <fgColor rgb="FFFF9900"/>
        <bgColor rgb="FFFF9900"/>
      </patternFill>
    </fill>
    <fill>
      <patternFill patternType="solid">
        <fgColor rgb="FFFFFFCC"/>
        <bgColor rgb="FFFFFFCC"/>
      </patternFill>
    </fill>
    <fill>
      <patternFill patternType="solid">
        <fgColor rgb="FFFFFF00"/>
        <bgColor rgb="FFFFFF00"/>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s>
  <cellStyleXfs count="1">
    <xf numFmtId="0" fontId="0" fillId="0" borderId="0"/>
  </cellStyleXfs>
  <cellXfs count="43">
    <xf numFmtId="0" fontId="0" fillId="0" borderId="0" xfId="0"/>
    <xf numFmtId="0" fontId="1" fillId="0" borderId="1" xfId="0" applyFont="1" applyBorder="1" applyAlignment="1">
      <alignment horizontal="center" wrapText="1"/>
    </xf>
    <xf numFmtId="0" fontId="2" fillId="0" borderId="0" xfId="0" applyFont="1"/>
    <xf numFmtId="0" fontId="3" fillId="0" borderId="1" xfId="0" applyFont="1" applyBorder="1" applyAlignment="1">
      <alignment wrapText="1"/>
    </xf>
    <xf numFmtId="0" fontId="3" fillId="0" borderId="0" xfId="0" applyFont="1"/>
    <xf numFmtId="0" fontId="6" fillId="0" borderId="0" xfId="0" applyFont="1" applyAlignment="1">
      <alignment horizontal="center"/>
    </xf>
    <xf numFmtId="0" fontId="5" fillId="0" borderId="0" xfId="0" applyFont="1"/>
    <xf numFmtId="0" fontId="7" fillId="0" borderId="0" xfId="0" applyFont="1"/>
    <xf numFmtId="0" fontId="5" fillId="0" borderId="0" xfId="0" applyFont="1" applyAlignment="1">
      <alignment horizontal="right"/>
    </xf>
    <xf numFmtId="0" fontId="4" fillId="0" borderId="0" xfId="0" applyFont="1"/>
    <xf numFmtId="0" fontId="5" fillId="3" borderId="2" xfId="0" applyFont="1" applyFill="1" applyBorder="1" applyAlignment="1">
      <alignment horizontal="right"/>
    </xf>
    <xf numFmtId="0" fontId="5" fillId="4" borderId="2" xfId="0" applyFont="1" applyFill="1" applyBorder="1" applyAlignment="1">
      <alignment horizontal="right"/>
    </xf>
    <xf numFmtId="0" fontId="5" fillId="5" borderId="2" xfId="0" applyFont="1" applyFill="1" applyBorder="1"/>
    <xf numFmtId="0" fontId="8" fillId="6"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9" fillId="0" borderId="3" xfId="0" applyFont="1" applyBorder="1" applyAlignment="1">
      <alignment horizontal="center" vertical="center" wrapText="1"/>
    </xf>
    <xf numFmtId="164" fontId="9" fillId="0" borderId="3" xfId="0" applyNumberFormat="1" applyFont="1" applyBorder="1" applyAlignment="1">
      <alignment horizontal="center" vertical="center" wrapText="1"/>
    </xf>
    <xf numFmtId="0" fontId="9" fillId="2" borderId="3" xfId="0" applyFont="1" applyFill="1" applyBorder="1" applyAlignment="1">
      <alignment horizontal="center" vertical="center" wrapText="1"/>
    </xf>
    <xf numFmtId="49" fontId="9" fillId="0" borderId="3" xfId="0" applyNumberFormat="1" applyFont="1" applyBorder="1" applyAlignment="1">
      <alignment horizontal="center" vertical="center" wrapText="1"/>
    </xf>
    <xf numFmtId="0" fontId="9" fillId="0" borderId="4" xfId="0" applyFont="1" applyBorder="1" applyAlignment="1">
      <alignment horizontal="center" vertical="center" wrapText="1"/>
    </xf>
    <xf numFmtId="14" fontId="9" fillId="0" borderId="4" xfId="0" applyNumberFormat="1" applyFont="1" applyBorder="1" applyAlignment="1">
      <alignment horizontal="center" vertical="center" wrapText="1"/>
    </xf>
    <xf numFmtId="0" fontId="9" fillId="0" borderId="5" xfId="0" applyFont="1" applyBorder="1" applyAlignment="1">
      <alignment horizontal="center" vertical="center" wrapText="1"/>
    </xf>
    <xf numFmtId="0" fontId="10" fillId="2" borderId="5" xfId="0" applyFont="1" applyFill="1" applyBorder="1" applyAlignment="1">
      <alignment horizontal="center" vertical="center" wrapText="1"/>
    </xf>
    <xf numFmtId="0" fontId="9" fillId="0" borderId="1" xfId="0" applyFont="1" applyBorder="1" applyAlignment="1">
      <alignment horizontal="center" vertical="center" wrapText="1"/>
    </xf>
    <xf numFmtId="164" fontId="9" fillId="0" borderId="5" xfId="0" applyNumberFormat="1" applyFont="1" applyBorder="1" applyAlignment="1">
      <alignment horizontal="center" vertical="center" wrapText="1"/>
    </xf>
    <xf numFmtId="0" fontId="10" fillId="2" borderId="1" xfId="0" applyFont="1" applyFill="1" applyBorder="1" applyAlignment="1">
      <alignment horizontal="center" vertical="center" wrapText="1"/>
    </xf>
    <xf numFmtId="164" fontId="9" fillId="0" borderId="1" xfId="0"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xf numFmtId="0" fontId="9" fillId="0" borderId="1" xfId="0" applyFont="1" applyBorder="1" applyAlignment="1">
      <alignment vertical="center" wrapText="1"/>
    </xf>
    <xf numFmtId="0" fontId="10" fillId="2" borderId="1" xfId="0" applyFont="1" applyFill="1" applyBorder="1" applyAlignment="1">
      <alignment horizontal="left" vertical="center" wrapText="1"/>
    </xf>
    <xf numFmtId="0" fontId="11" fillId="0" borderId="1" xfId="0" applyFont="1" applyBorder="1" applyAlignment="1">
      <alignment horizontal="center" wrapText="1"/>
    </xf>
    <xf numFmtId="0" fontId="9" fillId="7" borderId="1" xfId="0" applyFont="1" applyFill="1" applyBorder="1" applyAlignment="1">
      <alignment vertical="center" wrapText="1"/>
    </xf>
    <xf numFmtId="0" fontId="9" fillId="0" borderId="3" xfId="0" applyFont="1" applyBorder="1" applyAlignment="1">
      <alignment vertical="center" wrapText="1"/>
    </xf>
    <xf numFmtId="0" fontId="11" fillId="0" borderId="3" xfId="0" applyFont="1" applyBorder="1" applyAlignment="1">
      <alignment horizontal="center" wrapText="1"/>
    </xf>
    <xf numFmtId="0" fontId="9" fillId="0" borderId="4" xfId="0" applyFont="1" applyBorder="1" applyAlignment="1">
      <alignment vertical="center" wrapText="1"/>
    </xf>
    <xf numFmtId="164" fontId="9" fillId="0" borderId="4" xfId="0" applyNumberFormat="1" applyFont="1" applyBorder="1" applyAlignment="1">
      <alignment horizontal="center" vertical="center" wrapText="1"/>
    </xf>
    <xf numFmtId="0" fontId="9" fillId="2" borderId="4" xfId="0" applyFont="1" applyFill="1" applyBorder="1" applyAlignment="1">
      <alignment horizontal="center" vertical="center" wrapText="1"/>
    </xf>
    <xf numFmtId="0" fontId="11" fillId="0" borderId="4" xfId="0" applyFont="1" applyBorder="1" applyAlignment="1">
      <alignment horizontal="center" wrapText="1"/>
    </xf>
    <xf numFmtId="0" fontId="4" fillId="0" borderId="1" xfId="0" applyFont="1" applyBorder="1" applyAlignment="1">
      <alignment horizontal="center" vertical="center" wrapText="1"/>
    </xf>
    <xf numFmtId="0" fontId="3" fillId="0" borderId="0" xfId="0" applyFont="1" applyAlignment="1">
      <alignment horizontal="left" vertical="center" wrapText="1"/>
    </xf>
    <xf numFmtId="0" fontId="0" fillId="0" borderId="0" xfId="0"/>
  </cellXfs>
  <cellStyles count="1">
    <cellStyle name="Normal" xfId="0" builtinId="0"/>
  </cellStyles>
  <dxfs count="3">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burdonchart-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spPr>
            <a:ln w="28575" cmpd="sng">
              <a:solidFill>
                <a:schemeClr val="accent1"/>
              </a:solidFill>
            </a:ln>
          </c:spPr>
          <c:marker>
            <c:symbol val="none"/>
          </c:marker>
          <c:val>
            <c:numRef>
              <c:f>burdonchart!$B$19:$H$19</c:f>
              <c:numCache>
                <c:formatCode>General</c:formatCode>
                <c:ptCount val="7"/>
                <c:pt idx="0">
                  <c:v>0</c:v>
                </c:pt>
                <c:pt idx="1">
                  <c:v>35</c:v>
                </c:pt>
                <c:pt idx="2">
                  <c:v>24.5</c:v>
                </c:pt>
                <c:pt idx="3">
                  <c:v>15</c:v>
                </c:pt>
                <c:pt idx="4">
                  <c:v>6.5</c:v>
                </c:pt>
                <c:pt idx="5">
                  <c:v>3</c:v>
                </c:pt>
                <c:pt idx="6">
                  <c:v>0</c:v>
                </c:pt>
              </c:numCache>
            </c:numRef>
          </c:val>
          <c:smooth val="0"/>
          <c:extLst>
            <c:ext xmlns:c16="http://schemas.microsoft.com/office/drawing/2014/chart" uri="{C3380CC4-5D6E-409C-BE32-E72D297353CC}">
              <c16:uniqueId val="{00000000-1462-431B-AAF3-0E0A82C758EF}"/>
            </c:ext>
          </c:extLst>
        </c:ser>
        <c:ser>
          <c:idx val="1"/>
          <c:order val="1"/>
          <c:spPr>
            <a:ln w="28575" cmpd="sng">
              <a:solidFill>
                <a:schemeClr val="accent2"/>
              </a:solidFill>
            </a:ln>
          </c:spPr>
          <c:marker>
            <c:symbol val="none"/>
          </c:marker>
          <c:val>
            <c:numRef>
              <c:f>burdonchart!$B$20:$H$20</c:f>
              <c:numCache>
                <c:formatCode>General</c:formatCode>
                <c:ptCount val="7"/>
                <c:pt idx="0">
                  <c:v>0</c:v>
                </c:pt>
                <c:pt idx="1">
                  <c:v>35</c:v>
                </c:pt>
                <c:pt idx="2">
                  <c:v>28</c:v>
                </c:pt>
                <c:pt idx="3">
                  <c:v>21</c:v>
                </c:pt>
                <c:pt idx="4">
                  <c:v>14</c:v>
                </c:pt>
                <c:pt idx="5">
                  <c:v>7</c:v>
                </c:pt>
                <c:pt idx="6">
                  <c:v>0</c:v>
                </c:pt>
              </c:numCache>
            </c:numRef>
          </c:val>
          <c:smooth val="0"/>
          <c:extLst>
            <c:ext xmlns:c16="http://schemas.microsoft.com/office/drawing/2014/chart" uri="{C3380CC4-5D6E-409C-BE32-E72D297353CC}">
              <c16:uniqueId val="{00000001-1462-431B-AAF3-0E0A82C758EF}"/>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EC"/>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EC"/>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8</xdr:col>
      <xdr:colOff>161925</xdr:colOff>
      <xdr:row>17</xdr:row>
      <xdr:rowOff>142875</xdr:rowOff>
    </xdr:from>
    <xdr:ext cx="5715000" cy="3533775"/>
    <xdr:graphicFrame macro="">
      <xdr:nvGraphicFramePr>
        <xdr:cNvPr id="362873004" name="Chart 1" title="Gráfico">
          <a:extLst>
            <a:ext uri="{FF2B5EF4-FFF2-40B4-BE49-F238E27FC236}">
              <a16:creationId xmlns:a16="http://schemas.microsoft.com/office/drawing/2014/main" id="{00000000-0008-0000-0200-0000AC00A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I4:I14" headerRowCount="0">
  <tableColumns count="1">
    <tableColumn id="1" xr3:uid="{00000000-0010-0000-0000-000001000000}" name="Column1"/>
  </tableColumns>
  <tableStyleInfo name="burdonchart-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7E44A-9154-48F8-B65A-1774B7613B99}">
  <dimension ref="A1:N23"/>
  <sheetViews>
    <sheetView zoomScale="70" zoomScaleNormal="70" workbookViewId="0">
      <selection activeCell="C11" sqref="C11"/>
    </sheetView>
  </sheetViews>
  <sheetFormatPr defaultRowHeight="13.2" x14ac:dyDescent="0.25"/>
  <cols>
    <col min="2" max="14" width="24.6640625" customWidth="1"/>
  </cols>
  <sheetData>
    <row r="1" spans="1:14" ht="41.4" x14ac:dyDescent="0.25">
      <c r="A1" s="13" t="s">
        <v>30</v>
      </c>
      <c r="B1" s="13" t="s">
        <v>31</v>
      </c>
      <c r="C1" s="13" t="s">
        <v>32</v>
      </c>
      <c r="D1" s="13" t="s">
        <v>33</v>
      </c>
      <c r="E1" s="13" t="s">
        <v>34</v>
      </c>
      <c r="F1" s="13" t="s">
        <v>35</v>
      </c>
      <c r="G1" s="13" t="s">
        <v>36</v>
      </c>
      <c r="H1" s="13" t="s">
        <v>37</v>
      </c>
      <c r="I1" s="13" t="s">
        <v>38</v>
      </c>
      <c r="J1" s="13" t="s">
        <v>39</v>
      </c>
      <c r="K1" s="13" t="s">
        <v>40</v>
      </c>
      <c r="L1" s="13" t="s">
        <v>41</v>
      </c>
      <c r="M1" s="13" t="s">
        <v>42</v>
      </c>
      <c r="N1" s="13" t="s">
        <v>43</v>
      </c>
    </row>
    <row r="2" spans="1:14" ht="69" x14ac:dyDescent="0.25">
      <c r="A2" s="14" t="s">
        <v>7</v>
      </c>
      <c r="B2" s="15" t="s">
        <v>44</v>
      </c>
      <c r="C2" s="15" t="s">
        <v>45</v>
      </c>
      <c r="D2" s="15" t="s">
        <v>165</v>
      </c>
      <c r="E2" s="15" t="s">
        <v>46</v>
      </c>
      <c r="F2" s="15" t="s">
        <v>47</v>
      </c>
      <c r="G2" s="15" t="s">
        <v>48</v>
      </c>
      <c r="H2" s="15">
        <v>4</v>
      </c>
      <c r="I2" s="16">
        <v>46056</v>
      </c>
      <c r="J2" s="17" t="s">
        <v>8</v>
      </c>
      <c r="K2" s="15" t="s">
        <v>49</v>
      </c>
      <c r="L2" s="18" t="s">
        <v>50</v>
      </c>
      <c r="M2" s="15" t="s">
        <v>51</v>
      </c>
      <c r="N2" s="15" t="s">
        <v>52</v>
      </c>
    </row>
    <row r="3" spans="1:14" ht="58.8" customHeight="1" x14ac:dyDescent="0.25">
      <c r="A3" s="14" t="s">
        <v>10</v>
      </c>
      <c r="B3" s="19" t="s">
        <v>53</v>
      </c>
      <c r="C3" s="19" t="s">
        <v>54</v>
      </c>
      <c r="D3" s="19" t="s">
        <v>166</v>
      </c>
      <c r="E3" s="19" t="s">
        <v>46</v>
      </c>
      <c r="F3" s="19" t="s">
        <v>55</v>
      </c>
      <c r="G3" s="19" t="s">
        <v>56</v>
      </c>
      <c r="H3" s="15">
        <v>2</v>
      </c>
      <c r="I3" s="20">
        <v>46056</v>
      </c>
      <c r="J3" s="17" t="s">
        <v>8</v>
      </c>
      <c r="K3" s="15" t="s">
        <v>49</v>
      </c>
      <c r="L3" s="19" t="s">
        <v>57</v>
      </c>
      <c r="M3" s="19" t="s">
        <v>58</v>
      </c>
      <c r="N3" s="19" t="s">
        <v>59</v>
      </c>
    </row>
    <row r="4" spans="1:14" ht="58.8" customHeight="1" x14ac:dyDescent="0.25">
      <c r="A4" s="14" t="s">
        <v>11</v>
      </c>
      <c r="B4" s="21" t="s">
        <v>60</v>
      </c>
      <c r="C4" s="21" t="s">
        <v>61</v>
      </c>
      <c r="D4" s="21" t="s">
        <v>167</v>
      </c>
      <c r="E4" s="21" t="s">
        <v>46</v>
      </c>
      <c r="F4" s="22" t="s">
        <v>62</v>
      </c>
      <c r="G4" s="23" t="s">
        <v>63</v>
      </c>
      <c r="H4" s="15">
        <v>3</v>
      </c>
      <c r="I4" s="24">
        <v>46056</v>
      </c>
      <c r="J4" s="17" t="s">
        <v>8</v>
      </c>
      <c r="K4" s="15" t="s">
        <v>49</v>
      </c>
      <c r="L4" s="21" t="s">
        <v>64</v>
      </c>
      <c r="M4" s="21" t="s">
        <v>65</v>
      </c>
      <c r="N4" s="21" t="s">
        <v>66</v>
      </c>
    </row>
    <row r="5" spans="1:14" ht="58.8" customHeight="1" x14ac:dyDescent="0.25">
      <c r="A5" s="14" t="s">
        <v>12</v>
      </c>
      <c r="B5" s="23" t="s">
        <v>67</v>
      </c>
      <c r="C5" s="25" t="s">
        <v>68</v>
      </c>
      <c r="D5" s="23" t="s">
        <v>168</v>
      </c>
      <c r="E5" s="23" t="s">
        <v>46</v>
      </c>
      <c r="F5" s="25" t="s">
        <v>69</v>
      </c>
      <c r="G5" s="23" t="s">
        <v>63</v>
      </c>
      <c r="H5" s="15">
        <v>2</v>
      </c>
      <c r="I5" s="26">
        <v>46056</v>
      </c>
      <c r="J5" s="17" t="s">
        <v>8</v>
      </c>
      <c r="K5" s="15" t="s">
        <v>49</v>
      </c>
      <c r="L5" s="23" t="s">
        <v>70</v>
      </c>
      <c r="M5" s="23" t="s">
        <v>71</v>
      </c>
      <c r="N5" s="23" t="s">
        <v>72</v>
      </c>
    </row>
    <row r="6" spans="1:14" ht="58.8" customHeight="1" x14ac:dyDescent="0.25">
      <c r="A6" s="14" t="s">
        <v>14</v>
      </c>
      <c r="B6" s="23" t="s">
        <v>100</v>
      </c>
      <c r="C6" s="23" t="s">
        <v>101</v>
      </c>
      <c r="D6" s="23" t="s">
        <v>169</v>
      </c>
      <c r="E6" s="23" t="s">
        <v>46</v>
      </c>
      <c r="F6" s="25" t="s">
        <v>102</v>
      </c>
      <c r="G6" s="15" t="s">
        <v>48</v>
      </c>
      <c r="H6" s="15">
        <v>3</v>
      </c>
      <c r="I6" s="26">
        <v>46056</v>
      </c>
      <c r="J6" s="17" t="s">
        <v>8</v>
      </c>
      <c r="K6" s="15" t="s">
        <v>49</v>
      </c>
      <c r="L6" s="23" t="s">
        <v>103</v>
      </c>
      <c r="M6" s="29" t="s">
        <v>104</v>
      </c>
      <c r="N6" s="23" t="s">
        <v>105</v>
      </c>
    </row>
    <row r="7" spans="1:14" ht="58.8" customHeight="1" x14ac:dyDescent="0.25">
      <c r="A7" s="14" t="s">
        <v>79</v>
      </c>
      <c r="B7" s="23" t="s">
        <v>114</v>
      </c>
      <c r="C7" s="23" t="s">
        <v>115</v>
      </c>
      <c r="D7" s="23" t="s">
        <v>170</v>
      </c>
      <c r="E7" s="23" t="s">
        <v>46</v>
      </c>
      <c r="F7" s="25" t="s">
        <v>116</v>
      </c>
      <c r="G7" s="19" t="s">
        <v>117</v>
      </c>
      <c r="H7" s="15">
        <v>2</v>
      </c>
      <c r="I7" s="26">
        <v>46056</v>
      </c>
      <c r="J7" s="17" t="s">
        <v>8</v>
      </c>
      <c r="K7" s="15" t="s">
        <v>49</v>
      </c>
      <c r="L7" s="23" t="s">
        <v>118</v>
      </c>
      <c r="M7" s="29" t="s">
        <v>119</v>
      </c>
      <c r="N7" s="23" t="s">
        <v>120</v>
      </c>
    </row>
    <row r="8" spans="1:14" ht="58.8" customHeight="1" x14ac:dyDescent="0.25">
      <c r="A8" s="14" t="s">
        <v>86</v>
      </c>
      <c r="B8" s="23" t="s">
        <v>122</v>
      </c>
      <c r="C8" s="23" t="s">
        <v>123</v>
      </c>
      <c r="D8" s="23" t="s">
        <v>171</v>
      </c>
      <c r="E8" s="23" t="s">
        <v>46</v>
      </c>
      <c r="F8" s="25" t="s">
        <v>124</v>
      </c>
      <c r="G8" s="19" t="s">
        <v>63</v>
      </c>
      <c r="H8" s="15">
        <v>2</v>
      </c>
      <c r="I8" s="26">
        <v>46056</v>
      </c>
      <c r="J8" s="17" t="s">
        <v>8</v>
      </c>
      <c r="K8" s="15" t="s">
        <v>49</v>
      </c>
      <c r="L8" s="23" t="s">
        <v>125</v>
      </c>
      <c r="M8" s="29" t="s">
        <v>126</v>
      </c>
      <c r="N8" s="23" t="s">
        <v>127</v>
      </c>
    </row>
    <row r="9" spans="1:14" ht="58.8" customHeight="1" x14ac:dyDescent="0.25">
      <c r="A9" s="14" t="s">
        <v>92</v>
      </c>
      <c r="B9" s="23" t="s">
        <v>87</v>
      </c>
      <c r="C9" s="25" t="s">
        <v>88</v>
      </c>
      <c r="D9" s="23" t="s">
        <v>172</v>
      </c>
      <c r="E9" s="23" t="s">
        <v>46</v>
      </c>
      <c r="F9" s="25" t="s">
        <v>89</v>
      </c>
      <c r="G9" s="23" t="s">
        <v>56</v>
      </c>
      <c r="H9" s="15">
        <v>1</v>
      </c>
      <c r="I9" s="26">
        <v>46056</v>
      </c>
      <c r="J9" s="17" t="s">
        <v>163</v>
      </c>
      <c r="K9" s="15" t="s">
        <v>49</v>
      </c>
      <c r="L9" s="23" t="s">
        <v>90</v>
      </c>
      <c r="M9" s="23" t="s">
        <v>84</v>
      </c>
      <c r="N9" s="23" t="s">
        <v>91</v>
      </c>
    </row>
    <row r="10" spans="1:14" ht="58.8" customHeight="1" x14ac:dyDescent="0.25">
      <c r="A10" s="14" t="s">
        <v>99</v>
      </c>
      <c r="B10" s="23" t="s">
        <v>73</v>
      </c>
      <c r="C10" s="23" t="s">
        <v>74</v>
      </c>
      <c r="D10" s="23" t="s">
        <v>173</v>
      </c>
      <c r="E10" s="23" t="s">
        <v>46</v>
      </c>
      <c r="F10" s="23" t="s">
        <v>75</v>
      </c>
      <c r="G10" s="19" t="s">
        <v>48</v>
      </c>
      <c r="H10" s="15">
        <v>3</v>
      </c>
      <c r="I10" s="26">
        <v>46056</v>
      </c>
      <c r="J10" s="17" t="s">
        <v>164</v>
      </c>
      <c r="K10" s="15" t="s">
        <v>49</v>
      </c>
      <c r="L10" s="27" t="s">
        <v>76</v>
      </c>
      <c r="M10" s="23" t="s">
        <v>77</v>
      </c>
      <c r="N10" s="23" t="s">
        <v>78</v>
      </c>
    </row>
    <row r="11" spans="1:14" ht="58.8" customHeight="1" x14ac:dyDescent="0.25">
      <c r="A11" s="14" t="s">
        <v>106</v>
      </c>
      <c r="B11" s="23" t="s">
        <v>80</v>
      </c>
      <c r="C11" s="28" t="s">
        <v>81</v>
      </c>
      <c r="D11" s="23" t="s">
        <v>174</v>
      </c>
      <c r="E11" s="23" t="s">
        <v>46</v>
      </c>
      <c r="F11" s="25" t="s">
        <v>82</v>
      </c>
      <c r="G11" s="15" t="s">
        <v>56</v>
      </c>
      <c r="H11" s="15">
        <v>2</v>
      </c>
      <c r="I11" s="26">
        <v>46056</v>
      </c>
      <c r="J11" s="17" t="s">
        <v>164</v>
      </c>
      <c r="K11" s="15" t="s">
        <v>49</v>
      </c>
      <c r="L11" s="23" t="s">
        <v>83</v>
      </c>
      <c r="M11" s="23" t="s">
        <v>84</v>
      </c>
      <c r="N11" s="23" t="s">
        <v>85</v>
      </c>
    </row>
    <row r="12" spans="1:14" ht="58.8" customHeight="1" x14ac:dyDescent="0.25">
      <c r="A12" s="14" t="s">
        <v>113</v>
      </c>
      <c r="B12" s="23" t="s">
        <v>93</v>
      </c>
      <c r="C12" s="25" t="s">
        <v>94</v>
      </c>
      <c r="D12" s="23" t="s">
        <v>175</v>
      </c>
      <c r="E12" s="23" t="s">
        <v>46</v>
      </c>
      <c r="F12" s="25" t="s">
        <v>95</v>
      </c>
      <c r="G12" s="23" t="s">
        <v>56</v>
      </c>
      <c r="H12" s="15">
        <v>1</v>
      </c>
      <c r="I12" s="26">
        <v>46056</v>
      </c>
      <c r="J12" s="17" t="s">
        <v>164</v>
      </c>
      <c r="K12" s="15" t="s">
        <v>49</v>
      </c>
      <c r="L12" s="23" t="s">
        <v>96</v>
      </c>
      <c r="M12" s="29" t="s">
        <v>97</v>
      </c>
      <c r="N12" s="23" t="s">
        <v>98</v>
      </c>
    </row>
    <row r="13" spans="1:14" ht="58.8" customHeight="1" x14ac:dyDescent="0.25">
      <c r="A13" s="14" t="s">
        <v>121</v>
      </c>
      <c r="B13" s="23" t="s">
        <v>107</v>
      </c>
      <c r="C13" s="23" t="s">
        <v>108</v>
      </c>
      <c r="D13" s="23" t="s">
        <v>176</v>
      </c>
      <c r="E13" s="23" t="s">
        <v>46</v>
      </c>
      <c r="F13" s="25" t="s">
        <v>109</v>
      </c>
      <c r="G13" s="23" t="s">
        <v>63</v>
      </c>
      <c r="H13" s="15">
        <v>3</v>
      </c>
      <c r="I13" s="26">
        <v>46056</v>
      </c>
      <c r="J13" s="17" t="s">
        <v>164</v>
      </c>
      <c r="K13" s="15" t="s">
        <v>49</v>
      </c>
      <c r="L13" s="23" t="s">
        <v>110</v>
      </c>
      <c r="M13" s="29" t="s">
        <v>111</v>
      </c>
      <c r="N13" s="23" t="s">
        <v>112</v>
      </c>
    </row>
    <row r="14" spans="1:14" ht="58.8" customHeight="1" x14ac:dyDescent="0.25">
      <c r="A14" s="14" t="s">
        <v>128</v>
      </c>
      <c r="B14" s="23" t="s">
        <v>129</v>
      </c>
      <c r="C14" s="23" t="s">
        <v>130</v>
      </c>
      <c r="D14" s="23" t="s">
        <v>177</v>
      </c>
      <c r="E14" s="23" t="s">
        <v>46</v>
      </c>
      <c r="F14" s="25" t="s">
        <v>131</v>
      </c>
      <c r="G14" s="23" t="s">
        <v>48</v>
      </c>
      <c r="H14" s="15">
        <v>5</v>
      </c>
      <c r="I14" s="26">
        <v>46056</v>
      </c>
      <c r="J14" s="17" t="s">
        <v>164</v>
      </c>
      <c r="K14" s="15" t="s">
        <v>49</v>
      </c>
      <c r="L14" s="23" t="s">
        <v>132</v>
      </c>
      <c r="M14" s="29" t="s">
        <v>133</v>
      </c>
      <c r="N14" s="23" t="s">
        <v>134</v>
      </c>
    </row>
    <row r="15" spans="1:14" ht="58.8" customHeight="1" x14ac:dyDescent="0.25">
      <c r="A15" s="14" t="s">
        <v>135</v>
      </c>
      <c r="B15" s="23" t="s">
        <v>136</v>
      </c>
      <c r="C15" s="23" t="s">
        <v>137</v>
      </c>
      <c r="D15" s="23" t="s">
        <v>178</v>
      </c>
      <c r="E15" s="23" t="s">
        <v>46</v>
      </c>
      <c r="F15" s="25" t="s">
        <v>138</v>
      </c>
      <c r="G15" s="15" t="s">
        <v>48</v>
      </c>
      <c r="H15" s="15">
        <v>6</v>
      </c>
      <c r="I15" s="26">
        <v>46056</v>
      </c>
      <c r="J15" s="17" t="s">
        <v>164</v>
      </c>
      <c r="K15" s="15" t="s">
        <v>49</v>
      </c>
      <c r="L15" s="23" t="s">
        <v>139</v>
      </c>
      <c r="M15" s="29" t="s">
        <v>140</v>
      </c>
      <c r="N15" s="23" t="s">
        <v>141</v>
      </c>
    </row>
    <row r="16" spans="1:14" ht="58.8" customHeight="1" x14ac:dyDescent="0.25">
      <c r="A16" s="14" t="s">
        <v>142</v>
      </c>
      <c r="B16" s="30" t="s">
        <v>143</v>
      </c>
      <c r="C16" s="30" t="s">
        <v>144</v>
      </c>
      <c r="D16" s="30" t="s">
        <v>179</v>
      </c>
      <c r="E16" s="23" t="s">
        <v>46</v>
      </c>
      <c r="F16" s="30" t="s">
        <v>145</v>
      </c>
      <c r="G16" s="15" t="s">
        <v>117</v>
      </c>
      <c r="H16" s="15">
        <v>5</v>
      </c>
      <c r="I16" s="26">
        <v>46056</v>
      </c>
      <c r="J16" s="17" t="s">
        <v>164</v>
      </c>
      <c r="K16" s="15" t="s">
        <v>49</v>
      </c>
      <c r="L16" s="31" t="s">
        <v>146</v>
      </c>
      <c r="M16" s="30" t="s">
        <v>147</v>
      </c>
      <c r="N16" s="32" t="s">
        <v>148</v>
      </c>
    </row>
    <row r="17" spans="1:14" ht="58.8" customHeight="1" x14ac:dyDescent="0.25">
      <c r="A17" s="14" t="s">
        <v>149</v>
      </c>
      <c r="B17" s="34" t="s">
        <v>150</v>
      </c>
      <c r="C17" s="34" t="s">
        <v>151</v>
      </c>
      <c r="D17" s="34" t="s">
        <v>180</v>
      </c>
      <c r="E17" s="15" t="s">
        <v>46</v>
      </c>
      <c r="F17" s="34" t="s">
        <v>152</v>
      </c>
      <c r="G17" s="15" t="s">
        <v>117</v>
      </c>
      <c r="H17" s="15">
        <v>3</v>
      </c>
      <c r="I17" s="16">
        <v>46056</v>
      </c>
      <c r="J17" s="17" t="s">
        <v>164</v>
      </c>
      <c r="K17" s="15" t="s">
        <v>49</v>
      </c>
      <c r="L17" s="34" t="s">
        <v>153</v>
      </c>
      <c r="M17" s="34" t="s">
        <v>154</v>
      </c>
      <c r="N17" s="35" t="s">
        <v>155</v>
      </c>
    </row>
    <row r="18" spans="1:14" ht="58.8" customHeight="1" x14ac:dyDescent="0.25">
      <c r="A18" s="14" t="s">
        <v>156</v>
      </c>
      <c r="B18" s="36" t="s">
        <v>157</v>
      </c>
      <c r="C18" s="36" t="s">
        <v>158</v>
      </c>
      <c r="D18" s="36" t="s">
        <v>181</v>
      </c>
      <c r="E18" s="19" t="s">
        <v>46</v>
      </c>
      <c r="F18" s="36" t="s">
        <v>159</v>
      </c>
      <c r="G18" s="19" t="s">
        <v>117</v>
      </c>
      <c r="H18" s="19">
        <v>2</v>
      </c>
      <c r="I18" s="37">
        <v>46056</v>
      </c>
      <c r="J18" s="38" t="s">
        <v>164</v>
      </c>
      <c r="K18" s="19" t="s">
        <v>49</v>
      </c>
      <c r="L18" s="36" t="s">
        <v>160</v>
      </c>
      <c r="M18" s="36" t="s">
        <v>161</v>
      </c>
      <c r="N18" s="39" t="s">
        <v>162</v>
      </c>
    </row>
    <row r="19" spans="1:14" ht="13.8" x14ac:dyDescent="0.25">
      <c r="A19" s="33"/>
      <c r="B19" s="30"/>
      <c r="C19" s="30"/>
      <c r="D19" s="30"/>
      <c r="E19" s="30"/>
      <c r="F19" s="30"/>
      <c r="G19" s="23"/>
      <c r="H19" s="23"/>
      <c r="I19" s="26"/>
      <c r="J19" s="23"/>
      <c r="K19" s="23"/>
      <c r="L19" s="30"/>
      <c r="M19" s="30"/>
      <c r="N19" s="32"/>
    </row>
    <row r="20" spans="1:14" ht="13.8" x14ac:dyDescent="0.25">
      <c r="A20" s="33"/>
      <c r="B20" s="23"/>
      <c r="C20" s="23"/>
      <c r="D20" s="23"/>
      <c r="E20" s="23"/>
      <c r="F20" s="23"/>
      <c r="G20" s="23"/>
      <c r="H20" s="23"/>
      <c r="I20" s="26"/>
      <c r="J20" s="23"/>
      <c r="K20" s="23"/>
      <c r="L20" s="27"/>
      <c r="M20" s="23"/>
      <c r="N20" s="23"/>
    </row>
    <row r="21" spans="1:14" ht="13.8" x14ac:dyDescent="0.25">
      <c r="A21" s="33"/>
      <c r="B21" s="23"/>
      <c r="C21" s="23"/>
      <c r="D21" s="23"/>
      <c r="E21" s="23"/>
      <c r="F21" s="23"/>
      <c r="G21" s="23"/>
      <c r="H21" s="23"/>
      <c r="I21" s="26"/>
      <c r="J21" s="23"/>
      <c r="K21" s="23"/>
      <c r="L21" s="27"/>
      <c r="M21" s="23"/>
      <c r="N21" s="23"/>
    </row>
    <row r="22" spans="1:14" ht="13.8" x14ac:dyDescent="0.25">
      <c r="A22" s="33"/>
      <c r="B22" s="23"/>
      <c r="C22" s="23"/>
      <c r="D22" s="23"/>
      <c r="E22" s="23"/>
      <c r="F22" s="25"/>
      <c r="G22" s="23"/>
      <c r="H22" s="23"/>
      <c r="I22" s="26"/>
      <c r="J22" s="23"/>
      <c r="K22" s="23"/>
      <c r="L22" s="27"/>
      <c r="M22" s="23"/>
      <c r="N22" s="23"/>
    </row>
    <row r="23" spans="1:14" ht="13.8" x14ac:dyDescent="0.25">
      <c r="A23" s="33"/>
      <c r="B23" s="23"/>
      <c r="C23" s="25"/>
      <c r="D23" s="23"/>
      <c r="E23" s="23"/>
      <c r="F23" s="25"/>
      <c r="G23" s="23"/>
      <c r="H23" s="23"/>
      <c r="I23" s="26"/>
      <c r="J23" s="23"/>
      <c r="K23" s="23"/>
      <c r="L23" s="27"/>
      <c r="M23" s="23"/>
      <c r="N23" s="23"/>
    </row>
  </sheetData>
  <conditionalFormatting sqref="K2:K18">
    <cfRule type="colorScale" priority="1">
      <colorScale>
        <cfvo type="min"/>
        <cfvo type="max"/>
        <color rgb="FF57BB8A"/>
        <color rgb="FFFFFFFF"/>
      </colorScale>
    </cfRule>
  </conditionalFormatting>
  <conditionalFormatting sqref="K19:K23">
    <cfRule type="colorScale" priority="2">
      <colorScale>
        <cfvo type="min"/>
        <cfvo type="max"/>
        <color rgb="FF57BB8A"/>
        <color rgb="FFFFFFFF"/>
      </colorScale>
    </cfRule>
  </conditionalFormatting>
  <dataValidations disablePrompts="1" count="4">
    <dataValidation type="list" allowBlank="1" showErrorMessage="1" sqref="J19:J23" xr:uid="{7F8C9198-9799-4729-8008-35261DE98BCF}">
      <formula1>$K$33:$K$35</formula1>
    </dataValidation>
    <dataValidation type="list" allowBlank="1" showErrorMessage="1" sqref="K19:K23" xr:uid="{AC7736E9-F955-4246-A960-2D8A2D2D53FE}">
      <formula1>$L$33:$L$36</formula1>
    </dataValidation>
    <dataValidation type="list" allowBlank="1" showErrorMessage="1" sqref="J2:J18" xr:uid="{55083F96-5102-4347-9F50-3968B82493B1}">
      <formula1>$K$34:$K$36</formula1>
    </dataValidation>
    <dataValidation type="list" allowBlank="1" showErrorMessage="1" sqref="K2:K18" xr:uid="{46D90E2D-A9A5-4C66-AC3E-9ADA7465CA67}">
      <formula1>$L$34:$L$37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zoomScale="85" zoomScaleNormal="85" workbookViewId="0">
      <selection activeCell="B14" sqref="B14"/>
    </sheetView>
  </sheetViews>
  <sheetFormatPr defaultColWidth="12.6640625" defaultRowHeight="15" customHeight="1" x14ac:dyDescent="0.25"/>
  <cols>
    <col min="1" max="1" width="12.44140625" customWidth="1"/>
    <col min="2" max="2" width="30.21875" customWidth="1"/>
    <col min="3" max="3" width="36" customWidth="1"/>
    <col min="4" max="4" width="41.44140625" customWidth="1"/>
    <col min="5" max="5" width="54.44140625" customWidth="1"/>
    <col min="6" max="26" width="12.44140625" customWidth="1"/>
  </cols>
  <sheetData>
    <row r="1" spans="1:26" ht="15.75" customHeight="1" x14ac:dyDescent="0.3">
      <c r="A1" s="1" t="s">
        <v>15</v>
      </c>
      <c r="B1" s="1" t="s">
        <v>0</v>
      </c>
      <c r="C1" s="1" t="s">
        <v>1</v>
      </c>
      <c r="D1" s="1" t="s">
        <v>2</v>
      </c>
      <c r="E1" s="1" t="s">
        <v>3</v>
      </c>
      <c r="F1" s="1" t="s">
        <v>4</v>
      </c>
      <c r="G1" s="1" t="s">
        <v>5</v>
      </c>
      <c r="H1" s="1" t="s">
        <v>6</v>
      </c>
      <c r="I1" s="2"/>
      <c r="J1" s="2"/>
      <c r="K1" s="2"/>
      <c r="L1" s="2"/>
      <c r="M1" s="2"/>
      <c r="N1" s="2"/>
      <c r="O1" s="2"/>
      <c r="P1" s="2"/>
      <c r="Q1" s="2"/>
      <c r="R1" s="2"/>
      <c r="S1" s="2"/>
      <c r="T1" s="2"/>
      <c r="U1" s="2"/>
      <c r="V1" s="2"/>
      <c r="W1" s="2"/>
      <c r="X1" s="2"/>
      <c r="Y1" s="2"/>
      <c r="Z1" s="2"/>
    </row>
    <row r="2" spans="1:26" ht="66" x14ac:dyDescent="0.25">
      <c r="A2" s="3" t="s">
        <v>7</v>
      </c>
      <c r="B2" s="40" t="s">
        <v>66</v>
      </c>
      <c r="C2" s="40" t="s">
        <v>46</v>
      </c>
      <c r="D2" s="40" t="s">
        <v>62</v>
      </c>
      <c r="E2" s="40" t="s">
        <v>62</v>
      </c>
      <c r="F2" s="40" t="s">
        <v>65</v>
      </c>
      <c r="G2" s="40" t="s">
        <v>164</v>
      </c>
      <c r="H2" s="40" t="s">
        <v>9</v>
      </c>
      <c r="P2" s="4"/>
      <c r="Q2" s="4"/>
      <c r="R2" s="4"/>
      <c r="S2" s="4"/>
      <c r="T2" s="4"/>
      <c r="U2" s="4"/>
      <c r="V2" s="4"/>
      <c r="W2" s="4"/>
      <c r="X2" s="4"/>
      <c r="Y2" s="4"/>
      <c r="Z2" s="4"/>
    </row>
    <row r="3" spans="1:26" ht="79.2" x14ac:dyDescent="0.25">
      <c r="A3" s="3" t="s">
        <v>10</v>
      </c>
      <c r="B3" s="40" t="str">
        <f>VLOOKUP(Backlog!A3,Data!$A$2:$N$18,14)</f>
        <v>Actualizar Producto</v>
      </c>
      <c r="C3" s="40" t="str">
        <f>VLOOKUP(Backlog!$A3,Data!$A$2:$N$18,5)</f>
        <v>Propietario</v>
      </c>
      <c r="D3" s="40" t="str">
        <f>VLOOKUP(Backlog!$A3,Data!$A$2:$N$18,6)</f>
        <v>Seleccionar producto de lista, editar campos en formulario y guardar cambios validados</v>
      </c>
      <c r="E3" s="40" t="str">
        <f>VLOOKUP(Backlog!$A3,Data!$A$2:$N$18,6)</f>
        <v>Seleccionar producto de lista, editar campos en formulario y guardar cambios validados</v>
      </c>
      <c r="F3" s="40" t="str">
        <f>VLOOKUP(Backlog!$A3,Data!$A$2:$N$18,13)</f>
        <v>Permite incrementos y decrementos de stock con validaciones</v>
      </c>
      <c r="G3" s="40" t="s">
        <v>13</v>
      </c>
      <c r="H3" s="40" t="s">
        <v>9</v>
      </c>
    </row>
    <row r="4" spans="1:26" ht="52.8" x14ac:dyDescent="0.25">
      <c r="A4" s="3" t="s">
        <v>11</v>
      </c>
      <c r="B4" s="40" t="str">
        <f>VLOOKUP(Backlog!A2,Data!$A$2:$N$18,14)</f>
        <v>Registrar Producto</v>
      </c>
      <c r="C4" s="40" t="str">
        <f>VLOOKUP(Backlog!$A2,Data!$A$2:$N$18,5)</f>
        <v>Propietario</v>
      </c>
      <c r="D4" s="40" t="str">
        <f>VLOOKUP(Backlog!$A2,Data!$A$2:$N$18,6)</f>
        <v>Ingresar datos del producto en formulario, el sistema genera código automático y valida información antes de guardar</v>
      </c>
      <c r="E4" s="40" t="str">
        <f>VLOOKUP(Backlog!$A2,Data!$A$2:$N$18,6)</f>
        <v>Ingresar datos del producto en formulario, el sistema genera código automático y valida información antes de guardar</v>
      </c>
      <c r="F4" s="40" t="str">
        <f>VLOOKUP(Backlog!$A2,Data!$A$2:$N$18,13)</f>
        <v>Códigos de producto no se reutilizan al eliminar</v>
      </c>
      <c r="G4" s="40" t="s">
        <v>8</v>
      </c>
      <c r="H4" s="40" t="s">
        <v>9</v>
      </c>
    </row>
    <row r="5" spans="1:26" ht="52.8" x14ac:dyDescent="0.25">
      <c r="A5" s="3" t="s">
        <v>12</v>
      </c>
      <c r="B5" s="40" t="str">
        <f>VLOOKUP(Backlog!A5,Data!$A$2:$N$18,14)</f>
        <v>Eliminar Producto</v>
      </c>
      <c r="C5" s="40" t="str">
        <f>VLOOKUP(Backlog!$A5,Data!$A$2:$N$18,5)</f>
        <v>Propietario</v>
      </c>
      <c r="D5" s="40" t="str">
        <f>VLOOKUP(Backlog!$A5,Data!$A$2:$N$18,6)</f>
        <v>Seleccionar producto, confirmar eliminación, sistema actualiza estado a Inactivo</v>
      </c>
      <c r="E5" s="40" t="str">
        <f>VLOOKUP(Backlog!$A5,Data!$A$2:$N$18,6)</f>
        <v>Seleccionar producto, confirmar eliminación, sistema actualiza estado a Inactivo</v>
      </c>
      <c r="F5" s="40" t="str">
        <f>VLOOKUP(Backlog!$A5,Data!$A$2:$N$18,13)</f>
        <v>Código del producto no se libera para reutilización</v>
      </c>
      <c r="G5" s="40" t="s">
        <v>8</v>
      </c>
      <c r="H5" s="40" t="s">
        <v>9</v>
      </c>
    </row>
    <row r="6" spans="1:26" ht="66" x14ac:dyDescent="0.25">
      <c r="A6" s="3" t="s">
        <v>14</v>
      </c>
      <c r="B6" s="40" t="str">
        <f>VLOOKUP(Backlog!A6,Data!$A$2:$N$18,14)</f>
        <v>Registrar Pedido</v>
      </c>
      <c r="C6" s="40" t="str">
        <f>VLOOKUP(Backlog!$A6,Data!$A$2:$N$18,5)</f>
        <v>Propietario</v>
      </c>
      <c r="D6" s="40" t="str">
        <f>VLOOKUP(Backlog!$A6,Data!$A$2:$N$18,6)</f>
        <v>Seleccionar cliente y productos, especificar cantidades, sistema calcula totales y guarda pedido</v>
      </c>
      <c r="E6" s="40" t="str">
        <f>VLOOKUP(Backlog!$A6,Data!$A$2:$N$18,6)</f>
        <v>Seleccionar cliente y productos, especificar cantidades, sistema calcula totales y guarda pedido</v>
      </c>
      <c r="F6" s="40" t="str">
        <f>VLOOKUP(Backlog!$A6,Data!$A$2:$N$18,13)</f>
        <v>Fecha auto-completada con fecha actual pero editable</v>
      </c>
      <c r="G6" s="40" t="s">
        <v>13</v>
      </c>
      <c r="H6" s="40" t="s">
        <v>9</v>
      </c>
    </row>
    <row r="7" spans="1:26" ht="39.6" x14ac:dyDescent="0.25">
      <c r="A7" s="3" t="s">
        <v>79</v>
      </c>
      <c r="B7" s="40" t="str">
        <f>VLOOKUP(Backlog!A7,Data!$A$2:$N$18,14)</f>
        <v>Consultar Pedido</v>
      </c>
      <c r="C7" s="40" t="str">
        <f>VLOOKUP(Backlog!$A7,Data!$A$2:$N$18,5)</f>
        <v>Propietario</v>
      </c>
      <c r="D7" s="40" t="str">
        <f>VLOOKUP(Backlog!$A7,Data!$A$2:$N$18,6)</f>
        <v>Aplicar filtros (ID, cliente, fechas, estado), sistema muestra resultados</v>
      </c>
      <c r="E7" s="40" t="str">
        <f>VLOOKUP(Backlog!$A7,Data!$A$2:$N$18,6)</f>
        <v>Aplicar filtros (ID, cliente, fechas, estado), sistema muestra resultados</v>
      </c>
      <c r="F7" s="40" t="str">
        <f>VLOOKUP(Backlog!$A7,Data!$A$2:$N$18,13)</f>
        <v>Interfaz intuitiva para filtrado</v>
      </c>
      <c r="G7" s="40" t="s">
        <v>164</v>
      </c>
      <c r="H7" s="40" t="s">
        <v>9</v>
      </c>
    </row>
    <row r="8" spans="1:26" ht="52.8" x14ac:dyDescent="0.25">
      <c r="A8" s="3" t="s">
        <v>86</v>
      </c>
      <c r="B8" s="40" t="str">
        <f>VLOOKUP(Backlog!A8,Data!$A$2:$N$18,14)</f>
        <v>Eliminar Pedido</v>
      </c>
      <c r="C8" s="40" t="str">
        <f>VLOOKUP(Backlog!$A8,Data!$A$2:$N$18,5)</f>
        <v>Propietario</v>
      </c>
      <c r="D8" s="40" t="str">
        <f>VLOOKUP(Backlog!$A8,Data!$A$2:$N$18,6)</f>
        <v>Seleccionar pedido, confirmar eliminación, actualizar estado a Cancelado y revertir stock</v>
      </c>
      <c r="E8" s="40" t="str">
        <f>VLOOKUP(Backlog!$A8,Data!$A$2:$N$18,6)</f>
        <v>Seleccionar pedido, confirmar eliminación, actualizar estado a Cancelado y revertir stock</v>
      </c>
      <c r="F8" s="40" t="str">
        <f>VLOOKUP(Backlog!$A8,Data!$A$2:$N$18,13)</f>
        <v>Eliminación lógica que conserva historial</v>
      </c>
      <c r="G8" s="40" t="s">
        <v>8</v>
      </c>
      <c r="H8" s="40" t="s">
        <v>9</v>
      </c>
    </row>
    <row r="9" spans="1:26" ht="26.4" x14ac:dyDescent="0.25">
      <c r="A9" s="3" t="s">
        <v>92</v>
      </c>
      <c r="B9" s="40" t="str">
        <f>VLOOKUP(Backlog!A9,Data!$A$2:$N$18,14)</f>
        <v>Consultar Cliente</v>
      </c>
      <c r="C9" s="40" t="str">
        <f>VLOOKUP(Backlog!$A9,Data!$A$2:$N$18,5)</f>
        <v>Propietario</v>
      </c>
      <c r="D9" s="40" t="str">
        <f>VLOOKUP(Backlog!$A9,Data!$A$2:$N$18,6)</f>
        <v>Ingresar criterio de búsqueda, sistema muestra resultados coincidentes</v>
      </c>
      <c r="E9" s="40" t="str">
        <f>VLOOKUP(Backlog!$A9,Data!$A$2:$N$18,6)</f>
        <v>Ingresar criterio de búsqueda, sistema muestra resultados coincidentes</v>
      </c>
      <c r="F9" s="40" t="str">
        <f>VLOOKUP(Backlog!$A9,Data!$A$2:$N$18,13)</f>
        <v/>
      </c>
      <c r="G9" s="40" t="s">
        <v>13</v>
      </c>
      <c r="H9" s="40" t="s">
        <v>9</v>
      </c>
    </row>
    <row r="10" spans="1:26" ht="39.6" x14ac:dyDescent="0.25">
      <c r="A10" s="3" t="s">
        <v>99</v>
      </c>
      <c r="B10" s="40" t="str">
        <f>VLOOKUP(Backlog!A10,Data!$A$2:$N$18,14)</f>
        <v>Registrar Cliente</v>
      </c>
      <c r="C10" s="40" t="str">
        <f>VLOOKUP(Backlog!$A10,Data!$A$2:$N$18,5)</f>
        <v>Propietario</v>
      </c>
      <c r="D10" s="40" t="str">
        <f>VLOOKUP(Backlog!$A10,Data!$A$2:$N$18,6)</f>
        <v>Ingresar datos del cliente en formulario, validar formatos y guardar en base de datos</v>
      </c>
      <c r="E10" s="40" t="str">
        <f>VLOOKUP(Backlog!$A10,Data!$A$2:$N$18,6)</f>
        <v>Ingresar datos del cliente en formulario, validar formatos y guardar en base de datos</v>
      </c>
      <c r="F10" s="40" t="str">
        <f>VLOOKUP(Backlog!$A10,Data!$A$2:$N$18,13)</f>
        <v>Todos los campos son obligatorios</v>
      </c>
      <c r="G10" s="40" t="s">
        <v>164</v>
      </c>
      <c r="H10" s="40" t="s">
        <v>9</v>
      </c>
    </row>
    <row r="11" spans="1:26" ht="26.4" x14ac:dyDescent="0.25">
      <c r="A11" s="3" t="s">
        <v>106</v>
      </c>
      <c r="B11" s="40" t="str">
        <f>VLOOKUP(Backlog!A11,Data!$A$2:$N$18,14)</f>
        <v>Actualizar Cliente</v>
      </c>
      <c r="C11" s="40" t="str">
        <f>VLOOKUP(Backlog!$A11,Data!$A$2:$N$18,5)</f>
        <v>Propietario</v>
      </c>
      <c r="D11" s="40" t="str">
        <f>VLOOKUP(Backlog!$A11,Data!$A$2:$N$18,6)</f>
        <v>Seleccionar cliente de lista, editar campos y guardar cambios validados</v>
      </c>
      <c r="E11" s="40" t="str">
        <f>VLOOKUP(Backlog!$A11,Data!$A$2:$N$18,6)</f>
        <v>Seleccionar cliente de lista, editar campos y guardar cambios validados</v>
      </c>
      <c r="F11" s="40" t="str">
        <f>VLOOKUP(Backlog!$A11,Data!$A$2:$N$18,13)</f>
        <v/>
      </c>
      <c r="G11" s="40" t="s">
        <v>8</v>
      </c>
      <c r="H11" s="40" t="s">
        <v>9</v>
      </c>
    </row>
    <row r="12" spans="1:26" ht="79.2" x14ac:dyDescent="0.25">
      <c r="A12" s="3" t="s">
        <v>113</v>
      </c>
      <c r="B12" s="40" t="str">
        <f>VLOOKUP(Backlog!A12,Data!$A$2:$N$18,14)</f>
        <v>Eliminar Cliente</v>
      </c>
      <c r="C12" s="40" t="str">
        <f>VLOOKUP(Backlog!$A12,Data!$A$2:$N$18,5)</f>
        <v>Propietario</v>
      </c>
      <c r="D12" s="40" t="str">
        <f>VLOOKUP(Backlog!$A12,Data!$A$2:$N$18,6)</f>
        <v>Seleccionar cliente, confirmar eliminación, actualizar estado a Inactivo</v>
      </c>
      <c r="E12" s="40" t="str">
        <f>VLOOKUP(Backlog!$A12,Data!$A$2:$N$18,6)</f>
        <v>Seleccionar cliente, confirmar eliminación, actualizar estado a Inactivo</v>
      </c>
      <c r="F12" s="40" t="str">
        <f>VLOOKUP(Backlog!$A12,Data!$A$2:$N$18,13)</f>
        <v>Puede alternarse vista entre clientes Activos e Inactivos</v>
      </c>
      <c r="G12" s="40" t="s">
        <v>13</v>
      </c>
      <c r="H12" s="40" t="s">
        <v>9</v>
      </c>
    </row>
    <row r="13" spans="1:26" ht="79.2" x14ac:dyDescent="0.25">
      <c r="A13" s="3" t="s">
        <v>121</v>
      </c>
      <c r="B13" s="40" t="str">
        <f>VLOOKUP(Backlog!A13,Data!$A$2:$N$18,14)</f>
        <v>Actualizar Pedido</v>
      </c>
      <c r="C13" s="40" t="str">
        <f>VLOOKUP(Backlog!$A13,Data!$A$2:$N$18,5)</f>
        <v>Propietario</v>
      </c>
      <c r="D13" s="40" t="str">
        <f>VLOOKUP(Backlog!$A13,Data!$A$2:$N$18,6)</f>
        <v>Seleccionar pedido, editar datos, sistema recalcula totales y actualiza inventario</v>
      </c>
      <c r="E13" s="40" t="str">
        <f>VLOOKUP(Backlog!$A13,Data!$A$2:$N$18,6)</f>
        <v>Seleccionar pedido, editar datos, sistema recalcula totales y actualiza inventario</v>
      </c>
      <c r="F13" s="40" t="str">
        <f>VLOOKUP(Backlog!$A13,Data!$A$2:$N$18,13)</f>
        <v>Ajusta inventario por aumentos o disminuciones de cantidades</v>
      </c>
      <c r="G13" s="40" t="s">
        <v>164</v>
      </c>
      <c r="H13" s="40" t="s">
        <v>9</v>
      </c>
    </row>
    <row r="14" spans="1:26" ht="79.2" x14ac:dyDescent="0.25">
      <c r="A14" s="3" t="s">
        <v>128</v>
      </c>
      <c r="B14" s="40" t="str">
        <f>VLOOKUP(Backlog!A14,Data!$A$2:$N$18,14)</f>
        <v>Controlar Estado de Pedido</v>
      </c>
      <c r="C14" s="40" t="str">
        <f>VLOOKUP(Backlog!$A14,Data!$A$2:$N$18,5)</f>
        <v>Propietario</v>
      </c>
      <c r="D14" s="40" t="str">
        <f>VLOOKUP(Backlog!$A14,Data!$A$2:$N$18,6)</f>
        <v>Seleccionar pedido, elegir nuevo estado de opciones permitidas, actualizar</v>
      </c>
      <c r="E14" s="40" t="str">
        <f>VLOOKUP(Backlog!$A14,Data!$A$2:$N$18,6)</f>
        <v>Seleccionar pedido, elegir nuevo estado de opciones permitidas, actualizar</v>
      </c>
      <c r="F14" s="40" t="str">
        <f>VLOOKUP(Backlog!$A14,Data!$A$2:$N$18,13)</f>
        <v>Estados: Pendiente, En Proceso, En Espera, Completado, Cancelado</v>
      </c>
      <c r="G14" s="40" t="s">
        <v>8</v>
      </c>
      <c r="H14" s="40" t="s">
        <v>9</v>
      </c>
    </row>
    <row r="15" spans="1:26" ht="79.2" x14ac:dyDescent="0.25">
      <c r="A15" s="3" t="s">
        <v>135</v>
      </c>
      <c r="B15" s="40" t="str">
        <f>VLOOKUP(Backlog!A15,Data!$A$2:$N$18,14)</f>
        <v>Generar Reporte de Pedidos</v>
      </c>
      <c r="C15" s="40" t="str">
        <f>VLOOKUP(Backlog!$A15,Data!$A$2:$N$18,5)</f>
        <v>Propietario</v>
      </c>
      <c r="D15" s="40" t="str">
        <f>VLOOKUP(Backlog!$A15,Data!$A$2:$N$18,6)</f>
        <v>Aplicar filtros deseados, generar reporte, descargar archivo Excel con información completa</v>
      </c>
      <c r="E15" s="40" t="str">
        <f>VLOOKUP(Backlog!$A15,Data!$A$2:$N$18,6)</f>
        <v>Aplicar filtros deseados, generar reporte, descargar archivo Excel con información completa</v>
      </c>
      <c r="F15" s="40" t="str">
        <f>VLOOKUP(Backlog!$A15,Data!$A$2:$N$18,13)</f>
        <v>Incluye agregados como total de ventas y productos vendidos</v>
      </c>
      <c r="G15" s="40" t="s">
        <v>13</v>
      </c>
      <c r="H15" s="40" t="s">
        <v>9</v>
      </c>
    </row>
    <row r="16" spans="1:26" ht="66" x14ac:dyDescent="0.25">
      <c r="A16" s="3" t="s">
        <v>142</v>
      </c>
      <c r="B16" s="40" t="str">
        <f>VLOOKUP(Backlog!A16,Data!$A$2:$N$18,14)</f>
        <v>Crear Nueva Mezcla Personalizada</v>
      </c>
      <c r="C16" s="40" t="str">
        <f>VLOOKUP(Backlog!$A16,Data!$A$2:$N$18,5)</f>
        <v>Propietario</v>
      </c>
      <c r="D16" s="40" t="str">
        <f>VLOOKUP(Backlog!$A16,Data!$A$2:$N$18,6)</f>
        <v>Seleccionar productos, ingresar cantidades en libras, sistema calcula precio dinámicamente</v>
      </c>
      <c r="E16" s="40" t="str">
        <f>VLOOKUP(Backlog!$A16,Data!$A$2:$N$18,6)</f>
        <v>Seleccionar productos, ingresar cantidades en libras, sistema calcula precio dinámicamente</v>
      </c>
      <c r="F16" s="40" t="str">
        <f>VLOOKUP(Backlog!$A16,Data!$A$2:$N$18,13)</f>
        <v>Nombre de mezcla: 3-25 caracteres alfanuméricos</v>
      </c>
      <c r="G16" s="40" t="s">
        <v>164</v>
      </c>
      <c r="H16" s="40" t="s">
        <v>9</v>
      </c>
    </row>
    <row r="17" spans="1:8" ht="66" x14ac:dyDescent="0.25">
      <c r="A17" s="3" t="s">
        <v>149</v>
      </c>
      <c r="B17" s="40" t="str">
        <f>VLOOKUP(Backlog!A17,Data!$A$2:$N$18,14)</f>
        <v>Consultar Mezclas Personalizadas</v>
      </c>
      <c r="C17" s="40" t="str">
        <f>VLOOKUP(Backlog!$A17,Data!$A$2:$N$18,5)</f>
        <v>Propietario</v>
      </c>
      <c r="D17" s="40" t="str">
        <f>VLOOKUP(Backlog!$A17,Data!$A$2:$N$18,6)</f>
        <v>Ver mezclas predefinidas y guardadas, recibir sugerencias, ajustar cantidades</v>
      </c>
      <c r="E17" s="40" t="str">
        <f>VLOOKUP(Backlog!$A17,Data!$A$2:$N$18,6)</f>
        <v>Ver mezclas predefinidas y guardadas, recibir sugerencias, ajustar cantidades</v>
      </c>
      <c r="F17" s="40" t="str">
        <f>VLOOKUP(Backlog!$A17,Data!$A$2:$N$18,13)</f>
        <v>Recomendaciones simples basadas en compras frecuentes</v>
      </c>
      <c r="G17" s="40" t="s">
        <v>8</v>
      </c>
      <c r="H17" s="40" t="s">
        <v>9</v>
      </c>
    </row>
    <row r="18" spans="1:8" ht="66" x14ac:dyDescent="0.25">
      <c r="A18" s="3" t="s">
        <v>156</v>
      </c>
      <c r="B18" s="40" t="str">
        <f>VLOOKUP(Backlog!A18,Data!$A$2:$N$18,14)</f>
        <v>Guardar Mezcla Personalizada</v>
      </c>
      <c r="C18" s="40" t="str">
        <f>VLOOKUP(Backlog!$A18,Data!$A$2:$N$18,5)</f>
        <v>Propietario</v>
      </c>
      <c r="D18" s="40" t="str">
        <f>VLOOKUP(Backlog!$A18,Data!$A$2:$N$18,6)</f>
        <v>Diseñar mezcla, ingresar nombre único, guardar en perfil</v>
      </c>
      <c r="E18" s="40" t="str">
        <f>VLOOKUP(Backlog!$A18,Data!$A$2:$N$18,6)</f>
        <v>Diseñar mezcla, ingresar nombre único, guardar en perfil</v>
      </c>
      <c r="F18" s="40" t="str">
        <f>VLOOKUP(Backlog!$A18,Data!$A$2:$N$18,13)</f>
        <v>Mezclas guardadas no afectan stock hasta usarse en pedido</v>
      </c>
      <c r="G18" s="40" t="s">
        <v>13</v>
      </c>
      <c r="H18" s="40" t="s">
        <v>9</v>
      </c>
    </row>
    <row r="19" spans="1:8" ht="15.75" customHeight="1" x14ac:dyDescent="0.25"/>
    <row r="20" spans="1:8" ht="15.75" customHeight="1" x14ac:dyDescent="0.25"/>
    <row r="21" spans="1:8" ht="15.75" customHeight="1" x14ac:dyDescent="0.25"/>
    <row r="22" spans="1:8" ht="15.75" customHeight="1" x14ac:dyDescent="0.25"/>
    <row r="23" spans="1:8" ht="15.75" customHeight="1" x14ac:dyDescent="0.25"/>
    <row r="24" spans="1:8" ht="15.75" customHeight="1" x14ac:dyDescent="0.25"/>
    <row r="25" spans="1:8" ht="15.75" customHeight="1" x14ac:dyDescent="0.25"/>
    <row r="26" spans="1:8" ht="15.75" customHeight="1" x14ac:dyDescent="0.25"/>
    <row r="27" spans="1:8" ht="15.75" customHeight="1" x14ac:dyDescent="0.25"/>
    <row r="28" spans="1:8" ht="15.75" customHeight="1" x14ac:dyDescent="0.25"/>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honeticPr fontId="12"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78"/>
  <sheetViews>
    <sheetView topLeftCell="A7" workbookViewId="0">
      <selection activeCell="B17" sqref="B17"/>
    </sheetView>
  </sheetViews>
  <sheetFormatPr defaultColWidth="12.6640625" defaultRowHeight="15" customHeight="1" x14ac:dyDescent="0.25"/>
  <cols>
    <col min="1" max="2" width="12.44140625" customWidth="1"/>
    <col min="3" max="4" width="18.88671875" customWidth="1"/>
    <col min="5" max="5" width="20.44140625" customWidth="1"/>
    <col min="6" max="6" width="56.109375" customWidth="1"/>
    <col min="7" max="27" width="12.44140625" customWidth="1"/>
  </cols>
  <sheetData>
    <row r="1" spans="1:27" ht="15.75" customHeight="1" x14ac:dyDescent="0.25"/>
    <row r="2" spans="1:27" ht="15.75" customHeight="1" x14ac:dyDescent="0.25"/>
    <row r="3" spans="1:27" ht="15.75" customHeight="1" x14ac:dyDescent="0.25">
      <c r="B3" s="5" t="s">
        <v>15</v>
      </c>
      <c r="C3" s="5" t="s">
        <v>0</v>
      </c>
      <c r="D3" s="5" t="s">
        <v>1</v>
      </c>
      <c r="E3" s="5" t="s">
        <v>16</v>
      </c>
      <c r="F3" s="5" t="s">
        <v>17</v>
      </c>
      <c r="G3" s="5" t="s">
        <v>18</v>
      </c>
      <c r="H3" s="5" t="s">
        <v>4</v>
      </c>
      <c r="I3" s="5" t="s">
        <v>19</v>
      </c>
      <c r="J3" s="5" t="s">
        <v>20</v>
      </c>
    </row>
    <row r="4" spans="1:27" ht="66" x14ac:dyDescent="0.25">
      <c r="A4" s="4"/>
      <c r="B4" s="3" t="s">
        <v>7</v>
      </c>
      <c r="C4" s="40" t="s">
        <v>66</v>
      </c>
      <c r="D4" s="40" t="s">
        <v>46</v>
      </c>
      <c r="E4" s="40" t="s">
        <v>62</v>
      </c>
      <c r="F4" s="40" t="s">
        <v>62</v>
      </c>
      <c r="G4" s="40" t="s">
        <v>237</v>
      </c>
      <c r="H4" s="40" t="s">
        <v>65</v>
      </c>
      <c r="I4" s="40" t="s">
        <v>164</v>
      </c>
      <c r="J4" s="40" t="s">
        <v>9</v>
      </c>
      <c r="K4" s="4">
        <f>SUM(K5:K7)</f>
        <v>14</v>
      </c>
      <c r="L4" s="4"/>
      <c r="M4" s="4"/>
      <c r="N4" s="4"/>
      <c r="O4" s="4"/>
      <c r="P4" s="4"/>
      <c r="Q4" s="4"/>
      <c r="R4" s="4"/>
      <c r="S4" s="4"/>
      <c r="T4" s="4"/>
      <c r="U4" s="4"/>
      <c r="V4" s="4"/>
      <c r="W4" s="4"/>
      <c r="X4" s="4"/>
      <c r="Y4" s="4"/>
      <c r="Z4" s="4"/>
      <c r="AA4" s="4"/>
    </row>
    <row r="5" spans="1:27" ht="118.8" x14ac:dyDescent="0.25">
      <c r="A5" s="4"/>
      <c r="B5" s="3" t="s">
        <v>182</v>
      </c>
      <c r="C5" s="40" t="s">
        <v>183</v>
      </c>
      <c r="D5" s="40"/>
      <c r="E5" s="40" t="s">
        <v>188</v>
      </c>
      <c r="F5" s="40" t="s">
        <v>189</v>
      </c>
      <c r="G5" s="40" t="s">
        <v>117</v>
      </c>
      <c r="H5" s="40" t="s">
        <v>190</v>
      </c>
      <c r="I5" s="40" t="s">
        <v>8</v>
      </c>
      <c r="J5" s="40" t="s">
        <v>9</v>
      </c>
      <c r="K5" s="4">
        <v>5</v>
      </c>
      <c r="L5" s="4"/>
      <c r="M5" s="4"/>
      <c r="N5" s="4"/>
      <c r="O5" s="4"/>
      <c r="P5" s="4"/>
      <c r="Q5" s="4"/>
      <c r="R5" s="4"/>
      <c r="S5" s="4"/>
      <c r="T5" s="4"/>
      <c r="U5" s="4"/>
      <c r="V5" s="4"/>
      <c r="W5" s="4"/>
      <c r="X5" s="4"/>
      <c r="Y5" s="4"/>
      <c r="Z5" s="4"/>
      <c r="AA5" s="4"/>
    </row>
    <row r="6" spans="1:27" ht="66" x14ac:dyDescent="0.25">
      <c r="A6" s="4"/>
      <c r="B6" s="3" t="s">
        <v>186</v>
      </c>
      <c r="C6" s="40" t="s">
        <v>184</v>
      </c>
      <c r="D6" s="40"/>
      <c r="E6" s="40" t="s">
        <v>191</v>
      </c>
      <c r="F6" s="40" t="s">
        <v>192</v>
      </c>
      <c r="G6" s="40" t="s">
        <v>63</v>
      </c>
      <c r="H6" s="40" t="s">
        <v>193</v>
      </c>
      <c r="I6" s="40" t="s">
        <v>8</v>
      </c>
      <c r="J6" s="40" t="s">
        <v>9</v>
      </c>
      <c r="K6" s="4">
        <v>4</v>
      </c>
      <c r="L6" s="4"/>
      <c r="M6" s="4"/>
      <c r="N6" s="4"/>
      <c r="O6" s="4"/>
      <c r="P6" s="4"/>
      <c r="Q6" s="4"/>
      <c r="R6" s="4"/>
      <c r="S6" s="4"/>
      <c r="T6" s="4"/>
      <c r="U6" s="4"/>
      <c r="V6" s="4"/>
      <c r="W6" s="4"/>
      <c r="X6" s="4"/>
      <c r="Y6" s="4"/>
      <c r="Z6" s="4"/>
      <c r="AA6" s="4"/>
    </row>
    <row r="7" spans="1:27" ht="39.6" x14ac:dyDescent="0.25">
      <c r="A7" s="4"/>
      <c r="B7" s="3" t="s">
        <v>187</v>
      </c>
      <c r="C7" s="40" t="s">
        <v>185</v>
      </c>
      <c r="D7" s="40"/>
      <c r="E7" s="40" t="s">
        <v>194</v>
      </c>
      <c r="F7" s="40" t="s">
        <v>195</v>
      </c>
      <c r="G7" s="40" t="s">
        <v>63</v>
      </c>
      <c r="H7" s="40" t="s">
        <v>196</v>
      </c>
      <c r="I7" s="40" t="s">
        <v>8</v>
      </c>
      <c r="J7" s="40" t="s">
        <v>9</v>
      </c>
      <c r="K7" s="4">
        <v>5</v>
      </c>
      <c r="L7" s="4"/>
      <c r="M7" s="4"/>
      <c r="N7" s="4"/>
      <c r="O7" s="4"/>
      <c r="P7" s="4"/>
      <c r="Q7" s="4"/>
      <c r="R7" s="4"/>
      <c r="S7" s="4"/>
      <c r="T7" s="4"/>
      <c r="U7" s="4"/>
      <c r="V7" s="4"/>
      <c r="W7" s="4"/>
      <c r="X7" s="4"/>
      <c r="Y7" s="4"/>
      <c r="Z7" s="4"/>
      <c r="AA7" s="4"/>
    </row>
    <row r="8" spans="1:27" ht="79.2" x14ac:dyDescent="0.25">
      <c r="A8" s="4"/>
      <c r="B8" s="3" t="s">
        <v>10</v>
      </c>
      <c r="C8" s="40" t="s">
        <v>59</v>
      </c>
      <c r="D8" s="40" t="s">
        <v>46</v>
      </c>
      <c r="E8" s="40" t="s">
        <v>55</v>
      </c>
      <c r="F8" s="40" t="s">
        <v>55</v>
      </c>
      <c r="G8" s="40" t="s">
        <v>56</v>
      </c>
      <c r="H8" s="40" t="s">
        <v>58</v>
      </c>
      <c r="I8" s="40" t="s">
        <v>8</v>
      </c>
      <c r="J8" s="40" t="s">
        <v>9</v>
      </c>
      <c r="K8" s="4">
        <f>SUM(K9:K12)</f>
        <v>10.5</v>
      </c>
      <c r="L8" s="4"/>
      <c r="M8" s="4"/>
      <c r="N8" s="4"/>
      <c r="O8" s="4"/>
      <c r="P8" s="4"/>
      <c r="Q8" s="4"/>
      <c r="R8" s="4"/>
      <c r="S8" s="4"/>
      <c r="T8" s="4"/>
      <c r="U8" s="4"/>
      <c r="V8" s="4"/>
      <c r="W8" s="4"/>
      <c r="X8" s="4"/>
      <c r="Y8" s="4"/>
      <c r="Z8" s="4"/>
      <c r="AA8" s="4"/>
    </row>
    <row r="9" spans="1:27" ht="39.6" x14ac:dyDescent="0.25">
      <c r="A9" s="4"/>
      <c r="B9" s="3" t="s">
        <v>201</v>
      </c>
      <c r="C9" s="40" t="s">
        <v>197</v>
      </c>
      <c r="D9" s="40"/>
      <c r="E9" s="40" t="s">
        <v>205</v>
      </c>
      <c r="F9" s="40" t="s">
        <v>209</v>
      </c>
      <c r="G9" s="40" t="s">
        <v>56</v>
      </c>
      <c r="H9" s="40" t="s">
        <v>213</v>
      </c>
      <c r="I9" s="40" t="s">
        <v>8</v>
      </c>
      <c r="J9" s="40" t="s">
        <v>9</v>
      </c>
      <c r="K9" s="4">
        <v>2</v>
      </c>
      <c r="L9" s="4"/>
      <c r="M9" s="4"/>
      <c r="N9" s="4"/>
      <c r="O9" s="4"/>
      <c r="P9" s="4"/>
      <c r="Q9" s="4"/>
      <c r="R9" s="4"/>
      <c r="S9" s="4"/>
      <c r="T9" s="4"/>
      <c r="U9" s="4"/>
      <c r="V9" s="4"/>
      <c r="W9" s="4"/>
      <c r="X9" s="4"/>
      <c r="Y9" s="4"/>
      <c r="Z9" s="4"/>
      <c r="AA9" s="4"/>
    </row>
    <row r="10" spans="1:27" ht="39.6" x14ac:dyDescent="0.25">
      <c r="A10" s="4"/>
      <c r="B10" s="3" t="s">
        <v>202</v>
      </c>
      <c r="C10" s="40" t="s">
        <v>198</v>
      </c>
      <c r="D10" s="40"/>
      <c r="E10" s="40" t="s">
        <v>206</v>
      </c>
      <c r="F10" s="40" t="s">
        <v>210</v>
      </c>
      <c r="G10" s="40" t="s">
        <v>56</v>
      </c>
      <c r="H10" s="40" t="s">
        <v>214</v>
      </c>
      <c r="I10" s="40" t="s">
        <v>8</v>
      </c>
      <c r="J10" s="40" t="s">
        <v>9</v>
      </c>
      <c r="K10" s="4">
        <v>3.5</v>
      </c>
      <c r="L10" s="4"/>
      <c r="M10" s="4"/>
      <c r="N10" s="4"/>
      <c r="O10" s="4"/>
      <c r="P10" s="4"/>
      <c r="Q10" s="4"/>
      <c r="R10" s="4"/>
      <c r="S10" s="4"/>
      <c r="T10" s="4"/>
      <c r="U10" s="4"/>
      <c r="V10" s="4"/>
      <c r="W10" s="4"/>
      <c r="X10" s="4"/>
      <c r="Y10" s="4"/>
      <c r="Z10" s="4"/>
      <c r="AA10" s="4"/>
    </row>
    <row r="11" spans="1:27" ht="52.8" x14ac:dyDescent="0.25">
      <c r="A11" s="4"/>
      <c r="B11" s="3" t="s">
        <v>203</v>
      </c>
      <c r="C11" s="40" t="s">
        <v>199</v>
      </c>
      <c r="D11" s="40"/>
      <c r="E11" s="40" t="s">
        <v>207</v>
      </c>
      <c r="F11" s="40" t="s">
        <v>211</v>
      </c>
      <c r="G11" s="40" t="s">
        <v>56</v>
      </c>
      <c r="H11" s="40" t="s">
        <v>215</v>
      </c>
      <c r="I11" s="40" t="s">
        <v>8</v>
      </c>
      <c r="J11" s="40" t="s">
        <v>9</v>
      </c>
      <c r="K11" s="4">
        <v>2.5</v>
      </c>
      <c r="L11" s="4"/>
      <c r="M11" s="4"/>
      <c r="N11" s="4"/>
      <c r="O11" s="4"/>
      <c r="P11" s="4"/>
      <c r="Q11" s="4"/>
      <c r="R11" s="4"/>
      <c r="S11" s="4"/>
      <c r="T11" s="4"/>
      <c r="U11" s="4"/>
      <c r="V11" s="4"/>
      <c r="W11" s="4"/>
      <c r="X11" s="4"/>
      <c r="Y11" s="4"/>
      <c r="Z11" s="4"/>
      <c r="AA11" s="4"/>
    </row>
    <row r="12" spans="1:27" ht="26.4" x14ac:dyDescent="0.25">
      <c r="A12" s="4"/>
      <c r="B12" s="3" t="s">
        <v>204</v>
      </c>
      <c r="C12" s="40" t="s">
        <v>200</v>
      </c>
      <c r="D12" s="40"/>
      <c r="E12" s="40" t="s">
        <v>208</v>
      </c>
      <c r="F12" s="40" t="s">
        <v>212</v>
      </c>
      <c r="G12" s="40" t="s">
        <v>56</v>
      </c>
      <c r="H12" s="40" t="s">
        <v>216</v>
      </c>
      <c r="I12" s="40" t="s">
        <v>8</v>
      </c>
      <c r="J12" s="40" t="s">
        <v>9</v>
      </c>
      <c r="K12" s="4">
        <v>2.5</v>
      </c>
      <c r="L12" s="4"/>
      <c r="M12" s="4"/>
      <c r="N12" s="4"/>
      <c r="O12" s="4"/>
      <c r="P12" s="4"/>
      <c r="Q12" s="4"/>
      <c r="R12" s="4"/>
      <c r="S12" s="4"/>
      <c r="T12" s="4"/>
      <c r="U12" s="4"/>
      <c r="V12" s="4"/>
      <c r="W12" s="4"/>
      <c r="X12" s="4"/>
      <c r="Y12" s="4"/>
      <c r="Z12" s="4"/>
      <c r="AA12" s="4"/>
    </row>
    <row r="13" spans="1:27" ht="79.2" x14ac:dyDescent="0.25">
      <c r="A13" s="4"/>
      <c r="B13" s="3" t="s">
        <v>11</v>
      </c>
      <c r="C13" s="40" t="s">
        <v>52</v>
      </c>
      <c r="D13" s="40" t="s">
        <v>46</v>
      </c>
      <c r="E13" s="40" t="s">
        <v>47</v>
      </c>
      <c r="F13" s="40" t="s">
        <v>47</v>
      </c>
      <c r="G13" s="40" t="s">
        <v>48</v>
      </c>
      <c r="H13" s="40" t="s">
        <v>51</v>
      </c>
      <c r="I13" s="40" t="s">
        <v>8</v>
      </c>
      <c r="J13" s="40" t="s">
        <v>9</v>
      </c>
      <c r="K13">
        <f>SUM(K14:K17)</f>
        <v>10.5</v>
      </c>
      <c r="L13" s="4"/>
      <c r="M13" s="4"/>
      <c r="N13" s="4"/>
      <c r="O13" s="4"/>
      <c r="P13" s="4"/>
      <c r="Q13" s="4"/>
      <c r="R13" s="4"/>
      <c r="S13" s="4"/>
      <c r="T13" s="4"/>
      <c r="U13" s="4"/>
      <c r="V13" s="4"/>
      <c r="W13" s="4"/>
      <c r="X13" s="4"/>
      <c r="Y13" s="4"/>
      <c r="Z13" s="4"/>
      <c r="AA13" s="4"/>
    </row>
    <row r="14" spans="1:27" ht="39.6" x14ac:dyDescent="0.25">
      <c r="A14" s="4"/>
      <c r="B14" s="3" t="s">
        <v>217</v>
      </c>
      <c r="C14" s="40" t="s">
        <v>221</v>
      </c>
      <c r="D14" s="40"/>
      <c r="E14" s="40" t="s">
        <v>225</v>
      </c>
      <c r="F14" s="40" t="s">
        <v>229</v>
      </c>
      <c r="G14" s="40" t="s">
        <v>48</v>
      </c>
      <c r="H14" s="40" t="s">
        <v>233</v>
      </c>
      <c r="I14" s="40" t="s">
        <v>8</v>
      </c>
      <c r="J14" s="40" t="s">
        <v>9</v>
      </c>
      <c r="K14" s="4">
        <v>3.5</v>
      </c>
      <c r="L14" s="4"/>
      <c r="M14" s="4"/>
      <c r="N14" s="4"/>
      <c r="O14" s="4"/>
      <c r="P14" s="4"/>
      <c r="Q14" s="4"/>
      <c r="R14" s="4"/>
      <c r="S14" s="4"/>
      <c r="T14" s="4"/>
      <c r="U14" s="4"/>
      <c r="V14" s="4"/>
      <c r="W14" s="4"/>
      <c r="X14" s="4"/>
      <c r="Y14" s="4"/>
      <c r="Z14" s="4"/>
      <c r="AA14" s="4"/>
    </row>
    <row r="15" spans="1:27" ht="26.4" x14ac:dyDescent="0.25">
      <c r="A15" s="4"/>
      <c r="B15" s="3" t="s">
        <v>218</v>
      </c>
      <c r="C15" s="40" t="s">
        <v>222</v>
      </c>
      <c r="D15" s="40"/>
      <c r="E15" s="40" t="s">
        <v>226</v>
      </c>
      <c r="F15" s="40" t="s">
        <v>230</v>
      </c>
      <c r="G15" s="40" t="s">
        <v>48</v>
      </c>
      <c r="H15" s="40" t="s">
        <v>234</v>
      </c>
      <c r="I15" s="40" t="s">
        <v>8</v>
      </c>
      <c r="J15" s="40" t="s">
        <v>9</v>
      </c>
      <c r="K15" s="4">
        <v>2</v>
      </c>
      <c r="L15" s="4"/>
      <c r="M15" s="4"/>
      <c r="N15" s="4"/>
      <c r="O15" s="4"/>
      <c r="P15" s="4"/>
      <c r="Q15" s="4"/>
      <c r="R15" s="4"/>
      <c r="S15" s="4"/>
      <c r="T15" s="4"/>
      <c r="U15" s="4"/>
      <c r="V15" s="4"/>
      <c r="W15" s="4"/>
      <c r="X15" s="4"/>
      <c r="Y15" s="4"/>
      <c r="Z15" s="4"/>
      <c r="AA15" s="4"/>
    </row>
    <row r="16" spans="1:27" ht="39.6" x14ac:dyDescent="0.25">
      <c r="B16" s="3" t="s">
        <v>219</v>
      </c>
      <c r="C16" s="40" t="s">
        <v>223</v>
      </c>
      <c r="D16" s="40"/>
      <c r="E16" s="40" t="s">
        <v>227</v>
      </c>
      <c r="F16" s="40" t="s">
        <v>231</v>
      </c>
      <c r="G16" s="40" t="s">
        <v>48</v>
      </c>
      <c r="H16" s="40" t="s">
        <v>235</v>
      </c>
      <c r="I16" s="40" t="s">
        <v>8</v>
      </c>
      <c r="J16" s="40" t="s">
        <v>9</v>
      </c>
      <c r="K16" s="4">
        <v>3</v>
      </c>
    </row>
    <row r="17" spans="2:11" ht="39.6" x14ac:dyDescent="0.25">
      <c r="B17" s="3" t="s">
        <v>220</v>
      </c>
      <c r="C17" s="40" t="s">
        <v>224</v>
      </c>
      <c r="D17" s="40"/>
      <c r="E17" s="40" t="s">
        <v>228</v>
      </c>
      <c r="F17" s="40" t="s">
        <v>232</v>
      </c>
      <c r="G17" s="40" t="s">
        <v>48</v>
      </c>
      <c r="H17" s="40" t="s">
        <v>236</v>
      </c>
      <c r="I17" s="40" t="s">
        <v>8</v>
      </c>
      <c r="J17" s="40" t="s">
        <v>9</v>
      </c>
      <c r="K17" s="4">
        <v>2</v>
      </c>
    </row>
    <row r="18" spans="2:11" ht="13.2" x14ac:dyDescent="0.25">
      <c r="B18" s="6"/>
      <c r="C18" s="6"/>
      <c r="D18" s="7"/>
      <c r="E18" s="7"/>
      <c r="F18" s="7"/>
      <c r="G18" s="6"/>
      <c r="H18" s="6"/>
      <c r="I18" s="7"/>
      <c r="J18" s="8"/>
    </row>
    <row r="19" spans="2:11" ht="15.75" customHeight="1" x14ac:dyDescent="0.25"/>
    <row r="20" spans="2:11" ht="15.75" customHeight="1" x14ac:dyDescent="0.25"/>
    <row r="21" spans="2:11" ht="15.75" customHeight="1" x14ac:dyDescent="0.25"/>
    <row r="22" spans="2:11" ht="15.75" customHeight="1" x14ac:dyDescent="0.25"/>
    <row r="23" spans="2:11" ht="15.75" customHeight="1" x14ac:dyDescent="0.25"/>
    <row r="24" spans="2:11" ht="15.75" customHeight="1" x14ac:dyDescent="0.25"/>
    <row r="25" spans="2:11" ht="15.75" customHeight="1" x14ac:dyDescent="0.25"/>
    <row r="26" spans="2:11" ht="15.75" customHeight="1" x14ac:dyDescent="0.25"/>
    <row r="27" spans="2:11" ht="15.75" customHeight="1" x14ac:dyDescent="0.25"/>
    <row r="28" spans="2:11" ht="15.75" customHeight="1" x14ac:dyDescent="0.25"/>
    <row r="29" spans="2:11" ht="15.75" customHeight="1" x14ac:dyDescent="0.25"/>
    <row r="30" spans="2:11" ht="15.75" customHeight="1" x14ac:dyDescent="0.25"/>
    <row r="31" spans="2:11" ht="15.75" customHeight="1" x14ac:dyDescent="0.25"/>
    <row r="32" spans="2: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sheetData>
  <phoneticPr fontId="12"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I994"/>
  <sheetViews>
    <sheetView tabSelected="1" workbookViewId="0">
      <selection activeCell="E32" sqref="E32"/>
    </sheetView>
  </sheetViews>
  <sheetFormatPr defaultColWidth="12.6640625" defaultRowHeight="15" customHeight="1" x14ac:dyDescent="0.25"/>
  <cols>
    <col min="1" max="1" width="12.44140625" customWidth="1"/>
    <col min="2" max="2" width="24.44140625" customWidth="1"/>
    <col min="3" max="26" width="12.44140625" customWidth="1"/>
  </cols>
  <sheetData>
    <row r="1" spans="2:9" ht="15.75" customHeight="1" x14ac:dyDescent="0.25"/>
    <row r="2" spans="2:9" ht="15.75" customHeight="1" x14ac:dyDescent="0.25"/>
    <row r="3" spans="2:9" ht="15.75" customHeight="1" x14ac:dyDescent="0.25">
      <c r="B3" s="6"/>
      <c r="C3" s="6" t="s">
        <v>21</v>
      </c>
      <c r="D3" s="6" t="s">
        <v>22</v>
      </c>
      <c r="E3" s="6" t="s">
        <v>23</v>
      </c>
      <c r="F3" s="6" t="s">
        <v>24</v>
      </c>
      <c r="G3" s="6" t="s">
        <v>25</v>
      </c>
      <c r="H3" s="6" t="s">
        <v>26</v>
      </c>
      <c r="I3" s="6" t="s">
        <v>27</v>
      </c>
    </row>
    <row r="4" spans="2:9" ht="15.75" customHeight="1" x14ac:dyDescent="0.25">
      <c r="B4" s="9" t="s">
        <v>182</v>
      </c>
      <c r="C4" s="10">
        <f>VLOOKUP(B4, sprint0!$B$4:$K$17, 10)</f>
        <v>5</v>
      </c>
      <c r="D4" s="8">
        <v>5</v>
      </c>
      <c r="E4" s="8">
        <v>0</v>
      </c>
      <c r="F4" s="8">
        <v>0</v>
      </c>
      <c r="G4" s="8">
        <v>0</v>
      </c>
      <c r="H4" s="8">
        <v>0</v>
      </c>
      <c r="I4" s="11">
        <f t="shared" ref="I4:I6" si="0">SUM(D4:H4)</f>
        <v>5</v>
      </c>
    </row>
    <row r="5" spans="2:9" ht="15.75" customHeight="1" x14ac:dyDescent="0.25">
      <c r="B5" s="9" t="s">
        <v>186</v>
      </c>
      <c r="C5" s="10">
        <f>VLOOKUP(B5, sprint0!$B$4:$K$17, 10)</f>
        <v>4</v>
      </c>
      <c r="D5" s="8">
        <v>0</v>
      </c>
      <c r="E5" s="8">
        <v>3</v>
      </c>
      <c r="F5" s="8">
        <v>1</v>
      </c>
      <c r="G5" s="8">
        <v>0</v>
      </c>
      <c r="H5" s="8">
        <v>0</v>
      </c>
      <c r="I5" s="11">
        <f t="shared" si="0"/>
        <v>4</v>
      </c>
    </row>
    <row r="6" spans="2:9" ht="15.75" customHeight="1" x14ac:dyDescent="0.25">
      <c r="B6" s="9" t="s">
        <v>187</v>
      </c>
      <c r="C6" s="10">
        <f>VLOOKUP(B6, sprint0!$B$4:$K$17, 10)</f>
        <v>5</v>
      </c>
      <c r="D6" s="8">
        <v>0</v>
      </c>
      <c r="E6" s="8">
        <v>1</v>
      </c>
      <c r="F6" s="8">
        <v>4</v>
      </c>
      <c r="G6" s="8">
        <v>0</v>
      </c>
      <c r="H6" s="8">
        <v>0</v>
      </c>
      <c r="I6" s="11">
        <f t="shared" si="0"/>
        <v>5</v>
      </c>
    </row>
    <row r="7" spans="2:9" ht="15.75" customHeight="1" x14ac:dyDescent="0.25">
      <c r="B7" s="9" t="s">
        <v>201</v>
      </c>
      <c r="C7" s="10">
        <f>VLOOKUP(B7, sprint0!$B$4:$K$17, 10)</f>
        <v>2</v>
      </c>
      <c r="D7" s="8">
        <v>2</v>
      </c>
      <c r="E7" s="8">
        <v>0</v>
      </c>
      <c r="F7" s="8">
        <v>0</v>
      </c>
      <c r="G7" s="8">
        <v>0</v>
      </c>
      <c r="H7" s="8">
        <v>0</v>
      </c>
      <c r="I7" s="11">
        <f t="shared" ref="I7:I11" si="1">SUM(D7:H7)</f>
        <v>2</v>
      </c>
    </row>
    <row r="8" spans="2:9" ht="15.75" customHeight="1" x14ac:dyDescent="0.25">
      <c r="B8" s="9" t="s">
        <v>202</v>
      </c>
      <c r="C8" s="10">
        <f>VLOOKUP(B8, sprint0!$B$4:$K$17, 10)</f>
        <v>3.5</v>
      </c>
      <c r="D8" s="8">
        <v>0</v>
      </c>
      <c r="E8" s="8">
        <v>3.5</v>
      </c>
      <c r="F8" s="8">
        <v>0</v>
      </c>
      <c r="G8" s="8">
        <v>0</v>
      </c>
      <c r="H8" s="8">
        <v>0</v>
      </c>
      <c r="I8" s="11">
        <f t="shared" ref="I8:I10" si="2">SUM(D8:H8)</f>
        <v>3.5</v>
      </c>
    </row>
    <row r="9" spans="2:9" ht="15.75" customHeight="1" x14ac:dyDescent="0.25">
      <c r="B9" s="9" t="s">
        <v>203</v>
      </c>
      <c r="C9" s="10">
        <f>VLOOKUP(B9, sprint0!$B$4:$K$17, 10)</f>
        <v>2.5</v>
      </c>
      <c r="D9" s="8">
        <v>0</v>
      </c>
      <c r="E9" s="8">
        <v>0</v>
      </c>
      <c r="F9" s="8">
        <v>2.5</v>
      </c>
      <c r="G9" s="8">
        <v>0</v>
      </c>
      <c r="H9" s="8">
        <v>0</v>
      </c>
      <c r="I9" s="11">
        <f t="shared" si="2"/>
        <v>2.5</v>
      </c>
    </row>
    <row r="10" spans="2:9" ht="15.75" customHeight="1" x14ac:dyDescent="0.25">
      <c r="B10" s="9" t="s">
        <v>204</v>
      </c>
      <c r="C10" s="10">
        <f>VLOOKUP(B10, sprint0!$B$4:$K$17, 10)</f>
        <v>2.5</v>
      </c>
      <c r="D10" s="8">
        <v>0</v>
      </c>
      <c r="E10" s="8">
        <v>0</v>
      </c>
      <c r="F10" s="8">
        <v>0</v>
      </c>
      <c r="G10" s="8">
        <v>1.5</v>
      </c>
      <c r="H10" s="8">
        <v>1</v>
      </c>
      <c r="I10" s="11">
        <f t="shared" si="2"/>
        <v>2.5</v>
      </c>
    </row>
    <row r="11" spans="2:9" ht="15.75" customHeight="1" x14ac:dyDescent="0.25">
      <c r="B11" s="9" t="s">
        <v>217</v>
      </c>
      <c r="C11" s="10">
        <f>VLOOKUP(B11, sprint0!$B$4:$K$17, 10)</f>
        <v>3.5</v>
      </c>
      <c r="D11" s="8">
        <v>3.5</v>
      </c>
      <c r="E11" s="8">
        <v>0</v>
      </c>
      <c r="F11" s="8">
        <v>0</v>
      </c>
      <c r="G11" s="8">
        <v>0</v>
      </c>
      <c r="H11" s="8">
        <v>0</v>
      </c>
      <c r="I11" s="11">
        <f t="shared" si="1"/>
        <v>3.5</v>
      </c>
    </row>
    <row r="12" spans="2:9" ht="15.75" customHeight="1" x14ac:dyDescent="0.25">
      <c r="B12" s="9" t="s">
        <v>218</v>
      </c>
      <c r="C12" s="10">
        <f>VLOOKUP(B12, sprint0!$B$4:$K$17, 10)</f>
        <v>2</v>
      </c>
      <c r="D12" s="8">
        <v>0</v>
      </c>
      <c r="E12" s="8">
        <v>2</v>
      </c>
      <c r="F12" s="8">
        <v>0</v>
      </c>
      <c r="G12" s="8">
        <v>0</v>
      </c>
      <c r="H12" s="8">
        <v>0</v>
      </c>
      <c r="I12" s="11">
        <f t="shared" ref="I12:I14" si="3">SUM(D12:H12)</f>
        <v>2</v>
      </c>
    </row>
    <row r="13" spans="2:9" ht="15.75" customHeight="1" x14ac:dyDescent="0.25">
      <c r="B13" s="9" t="s">
        <v>219</v>
      </c>
      <c r="C13" s="10">
        <f>VLOOKUP(B13, sprint0!$B$4:$K$17, 10)</f>
        <v>3</v>
      </c>
      <c r="D13" s="8">
        <v>0</v>
      </c>
      <c r="E13" s="8">
        <v>0</v>
      </c>
      <c r="F13" s="8">
        <v>1</v>
      </c>
      <c r="G13" s="8">
        <v>2</v>
      </c>
      <c r="H13" s="8">
        <v>0</v>
      </c>
      <c r="I13" s="11">
        <f t="shared" si="3"/>
        <v>3</v>
      </c>
    </row>
    <row r="14" spans="2:9" ht="15.75" customHeight="1" x14ac:dyDescent="0.25">
      <c r="B14" s="9" t="s">
        <v>220</v>
      </c>
      <c r="C14" s="10">
        <f>VLOOKUP(B14, sprint0!$B$4:$K$17, 10)</f>
        <v>2</v>
      </c>
      <c r="D14" s="8">
        <v>0</v>
      </c>
      <c r="E14" s="8">
        <v>0</v>
      </c>
      <c r="F14" s="8">
        <v>0</v>
      </c>
      <c r="G14" s="8">
        <v>0</v>
      </c>
      <c r="H14" s="8">
        <v>2</v>
      </c>
      <c r="I14" s="11">
        <f t="shared" si="3"/>
        <v>2</v>
      </c>
    </row>
    <row r="15" spans="2:9" ht="15.75" customHeight="1" x14ac:dyDescent="0.25"/>
    <row r="16" spans="2:9" ht="15.75" customHeight="1" x14ac:dyDescent="0.25"/>
    <row r="17" spans="2:8" ht="15.75" customHeight="1" x14ac:dyDescent="0.25"/>
    <row r="18" spans="2:8" ht="15.75" customHeight="1" x14ac:dyDescent="0.25"/>
    <row r="19" spans="2:8" ht="15.75" customHeight="1" x14ac:dyDescent="0.25">
      <c r="B19" s="12" t="s">
        <v>28</v>
      </c>
      <c r="C19" s="6">
        <f>SUM(C4:C14)</f>
        <v>35</v>
      </c>
      <c r="D19" s="6">
        <f>C19-SUM(D4:D14)</f>
        <v>24.5</v>
      </c>
      <c r="E19" s="6">
        <f>D19-SUM(E4:E14)</f>
        <v>15</v>
      </c>
      <c r="F19" s="6">
        <f>E19-SUM(F4:F14)</f>
        <v>6.5</v>
      </c>
      <c r="G19" s="6">
        <f>F19-SUM(G4:G14)</f>
        <v>3</v>
      </c>
      <c r="H19" s="6">
        <f>G19-SUM(H4:H14)</f>
        <v>0</v>
      </c>
    </row>
    <row r="20" spans="2:8" ht="15.75" customHeight="1" x14ac:dyDescent="0.25">
      <c r="B20" s="12" t="s">
        <v>29</v>
      </c>
      <c r="C20" s="6">
        <f>SUM(C4:C14)</f>
        <v>35</v>
      </c>
      <c r="D20" s="6">
        <f>C20-(SUM(C4:C14)/5)</f>
        <v>28</v>
      </c>
      <c r="E20" s="6">
        <f>D20-(SUM(C4:C14)/5)</f>
        <v>21</v>
      </c>
      <c r="F20" s="6">
        <f>E20-(SUM(C4:C14)/5)</f>
        <v>14</v>
      </c>
      <c r="G20" s="6">
        <f>F20-(SUM(C4:C14)/5)</f>
        <v>7</v>
      </c>
      <c r="H20" s="6">
        <f>G20-(SUM(C4:C14)/5)</f>
        <v>0</v>
      </c>
    </row>
    <row r="21" spans="2:8" ht="15.75" customHeight="1" x14ac:dyDescent="0.25"/>
    <row r="22" spans="2:8" ht="15.75" customHeight="1" x14ac:dyDescent="0.25"/>
    <row r="23" spans="2:8" ht="15.75" customHeight="1" x14ac:dyDescent="0.25"/>
    <row r="24" spans="2:8" ht="15.75" customHeight="1" x14ac:dyDescent="0.25">
      <c r="B24" s="41" t="s">
        <v>238</v>
      </c>
      <c r="C24" s="42"/>
      <c r="D24" s="42"/>
      <c r="E24" s="42"/>
      <c r="F24" s="42"/>
      <c r="G24" s="42"/>
    </row>
    <row r="25" spans="2:8" ht="15.75" customHeight="1" x14ac:dyDescent="0.25">
      <c r="B25" s="42"/>
      <c r="C25" s="42"/>
      <c r="D25" s="42"/>
      <c r="E25" s="42"/>
      <c r="F25" s="42"/>
      <c r="G25" s="42"/>
    </row>
    <row r="26" spans="2:8" ht="15.75" customHeight="1" x14ac:dyDescent="0.25">
      <c r="B26" s="42"/>
      <c r="C26" s="42"/>
      <c r="D26" s="42"/>
      <c r="E26" s="42"/>
      <c r="F26" s="42"/>
      <c r="G26" s="42"/>
    </row>
    <row r="27" spans="2:8" ht="15.75" customHeight="1" x14ac:dyDescent="0.25">
      <c r="B27" s="42"/>
      <c r="C27" s="42"/>
      <c r="D27" s="42"/>
      <c r="E27" s="42"/>
      <c r="F27" s="42"/>
      <c r="G27" s="42"/>
    </row>
    <row r="28" spans="2:8" ht="15.75" customHeight="1" x14ac:dyDescent="0.25">
      <c r="B28" s="42"/>
      <c r="C28" s="42"/>
      <c r="D28" s="42"/>
      <c r="E28" s="42"/>
      <c r="F28" s="42"/>
      <c r="G28" s="42"/>
    </row>
    <row r="29" spans="2:8" ht="15.75" customHeight="1" x14ac:dyDescent="0.25">
      <c r="B29" s="42"/>
      <c r="C29" s="42"/>
      <c r="D29" s="42"/>
      <c r="E29" s="42"/>
      <c r="F29" s="42"/>
      <c r="G29" s="42"/>
    </row>
    <row r="30" spans="2:8" ht="15.75" customHeight="1" x14ac:dyDescent="0.25">
      <c r="B30" s="42"/>
      <c r="C30" s="42"/>
      <c r="D30" s="42"/>
      <c r="E30" s="42"/>
      <c r="F30" s="42"/>
      <c r="G30" s="42"/>
    </row>
    <row r="31" spans="2:8" ht="15.75" customHeight="1" x14ac:dyDescent="0.25">
      <c r="B31" s="42"/>
      <c r="C31" s="42"/>
      <c r="D31" s="42"/>
      <c r="E31" s="42"/>
      <c r="F31" s="42"/>
      <c r="G31" s="42"/>
    </row>
    <row r="32" spans="2: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sheetData>
  <mergeCells count="1">
    <mergeCell ref="B24:G31"/>
  </mergeCells>
  <phoneticPr fontId="12" type="noConversion"/>
  <pageMargins left="0.7" right="0.7" top="0.75" bottom="0.75" header="0" footer="0"/>
  <pageSetup orientation="landscape"/>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Backlog</vt:lpstr>
      <vt:lpstr>sprint0</vt:lpstr>
      <vt:lpstr>burdonchart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ALEJANDRO CAETANO FLORES MAYA</cp:lastModifiedBy>
  <dcterms:created xsi:type="dcterms:W3CDTF">2023-06-05T13:12:31Z</dcterms:created>
  <dcterms:modified xsi:type="dcterms:W3CDTF">2025-12-11T02:05:23Z</dcterms:modified>
</cp:coreProperties>
</file>