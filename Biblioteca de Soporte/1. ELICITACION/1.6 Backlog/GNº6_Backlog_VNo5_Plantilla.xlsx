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uespe-my.sharepoint.com/personal/aamorales17_espe_edu_ec/Documents/SEXTO SEMESTRE/Análisis y Diseño/27837_G6_ADS/Biblioteca de Trabajo/1. ELICITACION/1.6 Backlog/"/>
    </mc:Choice>
  </mc:AlternateContent>
  <xr:revisionPtr revIDLastSave="6" documentId="8_{474A1C10-9B00-4B5E-AD75-F09EDE7C0F7C}" xr6:coauthVersionLast="47" xr6:coauthVersionMax="47" xr10:uidLastSave="{C2F71A94-B695-445C-A07C-3E983C6D5B4F}"/>
  <bookViews>
    <workbookView xWindow="-120" yWindow="-120" windowWidth="29040" windowHeight="15840" activeTab="8" xr2:uid="{00000000-000D-0000-FFFF-FFFF00000000}"/>
  </bookViews>
  <sheets>
    <sheet name="Data" sheetId="4" r:id="rId1"/>
    <sheet name="Backlog" sheetId="1" r:id="rId2"/>
    <sheet name="sprint0" sheetId="2" r:id="rId3"/>
    <sheet name="sprint1" sheetId="5" r:id="rId4"/>
    <sheet name="sprint2" sheetId="6" r:id="rId5"/>
    <sheet name="sprint3" sheetId="7" r:id="rId6"/>
    <sheet name="sprint4" sheetId="8" r:id="rId7"/>
    <sheet name="sprint final" sheetId="9" r:id="rId8"/>
    <sheet name="burdonchart" sheetId="3"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oWtFQ1tWv0Sg2ONoGucA39mJyVyp+tZEzqkOZStHocs="/>
    </ext>
  </extLst>
</workbook>
</file>

<file path=xl/calcChain.xml><?xml version="1.0" encoding="utf-8"?>
<calcChain xmlns="http://schemas.openxmlformats.org/spreadsheetml/2006/main">
  <c r="I181" i="3" l="1"/>
  <c r="I182" i="3"/>
  <c r="I183" i="3"/>
  <c r="I184" i="3"/>
  <c r="I185" i="3"/>
  <c r="I186" i="3"/>
  <c r="I187" i="3"/>
  <c r="I188" i="3"/>
  <c r="I189" i="3"/>
  <c r="I190" i="3"/>
  <c r="I191" i="3"/>
  <c r="I192" i="3"/>
  <c r="I222" i="3"/>
  <c r="I180"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170" i="3"/>
  <c r="I171" i="3"/>
  <c r="I172" i="3"/>
  <c r="I173" i="3"/>
  <c r="I174" i="3"/>
  <c r="I175" i="3"/>
  <c r="I176" i="3"/>
  <c r="I177" i="3"/>
  <c r="I178" i="3"/>
  <c r="I179" i="3"/>
  <c r="I169" i="3"/>
  <c r="I4" i="3"/>
  <c r="C225" i="3"/>
  <c r="C226" i="3"/>
  <c r="C179" i="3"/>
  <c r="C178" i="3"/>
  <c r="C177" i="3"/>
  <c r="C176" i="3"/>
  <c r="C175" i="3"/>
  <c r="C174" i="3"/>
  <c r="C173" i="3"/>
  <c r="C172" i="3"/>
  <c r="C171" i="3"/>
  <c r="C170" i="3"/>
  <c r="C169" i="3"/>
  <c r="D151" i="3"/>
  <c r="C131" i="3"/>
  <c r="C152" i="3"/>
  <c r="K13" i="9"/>
  <c r="K8" i="9"/>
  <c r="K4" i="9"/>
  <c r="C100" i="3"/>
  <c r="C60" i="3"/>
  <c r="C12" i="3"/>
  <c r="I12" i="3"/>
  <c r="C13" i="3"/>
  <c r="I13" i="3"/>
  <c r="C14" i="3"/>
  <c r="I14" i="3"/>
  <c r="C8" i="3"/>
  <c r="I8" i="3"/>
  <c r="C9" i="3"/>
  <c r="I9" i="3"/>
  <c r="C10" i="3"/>
  <c r="I10" i="3"/>
  <c r="C7" i="3"/>
  <c r="I7" i="3"/>
  <c r="C11" i="3"/>
  <c r="I11" i="3"/>
  <c r="C4" i="3"/>
  <c r="C5" i="3"/>
  <c r="I5" i="3"/>
  <c r="C6" i="3"/>
  <c r="I6" i="3"/>
  <c r="K8" i="2"/>
  <c r="K13" i="2"/>
  <c r="K4" i="2"/>
  <c r="B3" i="1"/>
  <c r="C3" i="1"/>
  <c r="D3" i="1"/>
  <c r="E3" i="1"/>
  <c r="F3" i="1"/>
  <c r="B5" i="1"/>
  <c r="C5" i="1"/>
  <c r="D5" i="1"/>
  <c r="E5" i="1"/>
  <c r="F5" i="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16" i="1"/>
  <c r="C16" i="1"/>
  <c r="D16" i="1"/>
  <c r="E16" i="1"/>
  <c r="F16" i="1"/>
  <c r="B17" i="1"/>
  <c r="C17" i="1"/>
  <c r="D17" i="1"/>
  <c r="E17" i="1"/>
  <c r="F17" i="1"/>
  <c r="B18" i="1"/>
  <c r="C18" i="1"/>
  <c r="D18" i="1"/>
  <c r="E18" i="1"/>
  <c r="F18" i="1"/>
  <c r="F4" i="1"/>
  <c r="E4" i="1"/>
  <c r="D4" i="1"/>
  <c r="C4" i="1"/>
  <c r="B4" i="1"/>
  <c r="D225" i="3" l="1"/>
  <c r="E225" i="3" s="1"/>
  <c r="F225" i="3" s="1"/>
  <c r="G225" i="3" s="1"/>
  <c r="H225" i="3" s="1"/>
  <c r="D226" i="3"/>
  <c r="E226" i="3" s="1"/>
  <c r="F226" i="3" s="1"/>
  <c r="G226" i="3" s="1"/>
  <c r="H226" i="3" s="1"/>
  <c r="D152" i="3"/>
  <c r="E152" i="3" s="1"/>
  <c r="F152" i="3" s="1"/>
  <c r="G152" i="3" s="1"/>
  <c r="H152" i="3" s="1"/>
  <c r="C151" i="3"/>
  <c r="E151" i="3" s="1"/>
  <c r="F151" i="3" s="1"/>
  <c r="G151" i="3" s="1"/>
  <c r="H151" i="3" s="1"/>
  <c r="D131" i="3"/>
  <c r="E131" i="3" s="1"/>
  <c r="F131" i="3" s="1"/>
  <c r="G131" i="3" s="1"/>
  <c r="H131" i="3" s="1"/>
  <c r="C132" i="3"/>
  <c r="D132" i="3" s="1"/>
  <c r="E132" i="3" s="1"/>
  <c r="F132" i="3" s="1"/>
  <c r="G132" i="3" s="1"/>
  <c r="H132" i="3" s="1"/>
  <c r="C61" i="3"/>
  <c r="D61" i="3" s="1"/>
  <c r="E61" i="3" s="1"/>
  <c r="F61" i="3" s="1"/>
  <c r="G61" i="3" s="1"/>
  <c r="H61" i="3" s="1"/>
  <c r="C101" i="3"/>
  <c r="D101" i="3" s="1"/>
  <c r="E101" i="3" s="1"/>
  <c r="F101" i="3" s="1"/>
  <c r="G101" i="3" s="1"/>
  <c r="H101" i="3" s="1"/>
  <c r="D100" i="3"/>
  <c r="E100" i="3" s="1"/>
  <c r="F100" i="3" s="1"/>
  <c r="G100" i="3" s="1"/>
  <c r="H100" i="3" s="1"/>
  <c r="D60" i="3"/>
  <c r="E60" i="3" s="1"/>
  <c r="F60" i="3" s="1"/>
  <c r="G60" i="3" s="1"/>
  <c r="H60" i="3" s="1"/>
  <c r="C20" i="3"/>
  <c r="D20" i="3" s="1"/>
  <c r="E20" i="3" s="1"/>
  <c r="F20" i="3" s="1"/>
  <c r="G20" i="3" s="1"/>
  <c r="H20" i="3" s="1"/>
  <c r="C19" i="3"/>
  <c r="D19" i="3" l="1"/>
  <c r="E19" i="3" s="1"/>
  <c r="F19" i="3" s="1"/>
  <c r="G19" i="3" s="1"/>
  <c r="H19" i="3" s="1"/>
</calcChain>
</file>

<file path=xl/sharedStrings.xml><?xml version="1.0" encoding="utf-8"?>
<sst xmlns="http://schemas.openxmlformats.org/spreadsheetml/2006/main" count="1570" uniqueCount="489">
  <si>
    <t>Tema</t>
  </si>
  <si>
    <t>Como un..</t>
  </si>
  <si>
    <t>necesito</t>
  </si>
  <si>
    <t>asi podre...</t>
  </si>
  <si>
    <t>notas</t>
  </si>
  <si>
    <t>prioridad</t>
  </si>
  <si>
    <t>estatus</t>
  </si>
  <si>
    <t>REQ001</t>
  </si>
  <si>
    <t>Alta</t>
  </si>
  <si>
    <t>En Proceso</t>
  </si>
  <si>
    <t>REQ002</t>
  </si>
  <si>
    <t>REQ003</t>
  </si>
  <si>
    <t>REQ004</t>
  </si>
  <si>
    <t>Media</t>
  </si>
  <si>
    <t>REQ005</t>
  </si>
  <si>
    <t>ID</t>
  </si>
  <si>
    <t>Necesito</t>
  </si>
  <si>
    <t>así podre...</t>
  </si>
  <si>
    <t>encargado</t>
  </si>
  <si>
    <t>Prioridad</t>
  </si>
  <si>
    <t>Status</t>
  </si>
  <si>
    <t>Estimado</t>
  </si>
  <si>
    <t>Dia 5</t>
  </si>
  <si>
    <t>Dia 4</t>
  </si>
  <si>
    <t>Dia 3</t>
  </si>
  <si>
    <t>Dia 2</t>
  </si>
  <si>
    <t>Dia 1</t>
  </si>
  <si>
    <t>Total de Horas</t>
  </si>
  <si>
    <t>Horas Estimadas</t>
  </si>
  <si>
    <t>Horas Estimadas
Restantes</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</si>
  <si>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</si>
  <si>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</si>
  <si>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</si>
  <si>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</si>
  <si>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</si>
  <si>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</si>
  <si>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</si>
  <si>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</si>
  <si>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</si>
  <si>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</si>
  <si>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</si>
  <si>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</si>
  <si>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</si>
  <si>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</si>
  <si>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El sistema debe permitir registrar productos nuevos</t>
  </si>
  <si>
    <t>Registrar nombre, precios, país de origen, stock e imagen del producto</t>
  </si>
  <si>
    <t>Propietario</t>
  </si>
  <si>
    <t>Ingresar datos del producto en formulario, el sistema genera código automático y valida información antes de guardar</t>
  </si>
  <si>
    <t>Leonardo Narvaez</t>
  </si>
  <si>
    <t>No iniciado</t>
  </si>
  <si>
    <t>Validar campos obligatorios, rangos de precios (0.01-99.99), stock mayor a 0. Verificar código único generado y mensaje de confirmación.</t>
  </si>
  <si>
    <t>Códigos de producto no se reutilizan al eliminar</t>
  </si>
  <si>
    <t>Registrar Producto</t>
  </si>
  <si>
    <t>El sistema debe permitir actualizar datos de productos registrados</t>
  </si>
  <si>
    <t>Modificar nombre, precios, país, stock o imagen de productos existentes</t>
  </si>
  <si>
    <t>Seleccionar producto de lista, editar campos en formulario y guardar cambios validados</t>
  </si>
  <si>
    <t>Caetano Flores</t>
  </si>
  <si>
    <t>Validar que actualización cumpla mismas reglas que registro. Stock no puede ser negativo. Mensaje de confirmación al actualizar.</t>
  </si>
  <si>
    <t>Permite incrementos y decrementos de stock con validaciones</t>
  </si>
  <si>
    <t>Actualizar Producto</t>
  </si>
  <si>
    <t>El sistema debe permitir consultar información de productos</t>
  </si>
  <si>
    <t>Buscar productos por nombre o código y visualizar su información completa</t>
  </si>
  <si>
    <t>Ingresar criterio de búsqueda (nombre o código), sistema muestra resultados coincidentes</t>
  </si>
  <si>
    <t>AnthonyMorales</t>
  </si>
  <si>
    <t>Búsqueda por código exacto muestra un producto. Búsqueda por nombre muestra coincidencias parciales. Mensaje si no hay resultados.</t>
  </si>
  <si>
    <t>Búsqueda por código prioritaria si tiene formato letra+dígitos</t>
  </si>
  <si>
    <t>Consultar Producto</t>
  </si>
  <si>
    <t>El sistema debe permitir desactivar productos</t>
  </si>
  <si>
    <t>Marcar productos como inactivos sin eliminarlos físicamente</t>
  </si>
  <si>
    <t>Seleccionar producto, confirmar eliminación, sistema actualiza estado a Inactivo</t>
  </si>
  <si>
    <t>Producto marcado como Inactivo no aparece en selecciones futuras pero conserva historial. Confirmación de desactivación exitosa.</t>
  </si>
  <si>
    <t>Código del producto no se libera para reutilización</t>
  </si>
  <si>
    <t>Eliminar Producto</t>
  </si>
  <si>
    <t>El sistema debe permitir registrar clientes nuevos</t>
  </si>
  <si>
    <t>Registrar nombre, identificación, correo, teléfono y dirección del cliente</t>
  </si>
  <si>
    <t>Ingresar datos del cliente en formulario, validar formatos y guardar en base de datos</t>
  </si>
  <si>
    <t>Validar campos obligatorios, formato de cédula/RUC/pasaporte, email y teléfono válidos. Identificación única. Mensaje de confirmación.</t>
  </si>
  <si>
    <t>Todos los campos son obligatorios</t>
  </si>
  <si>
    <t>Registrar Cliente</t>
  </si>
  <si>
    <t>REQ006</t>
  </si>
  <si>
    <t>El sistema debe permitir actualizar datos de clientes</t>
  </si>
  <si>
    <t>Modificar información de clientes registrados</t>
  </si>
  <si>
    <t>Seleccionar cliente de lista, editar campos y guardar cambios validados</t>
  </si>
  <si>
    <t>Validar mismas reglas que registro. Verificar formatos de identificación, email y teléfono. Mensaje de confirmación.</t>
  </si>
  <si>
    <t/>
  </si>
  <si>
    <t>Actualizar Cliente</t>
  </si>
  <si>
    <t>REQ007</t>
  </si>
  <si>
    <t>El sistema debe permitir consultar información de clientes</t>
  </si>
  <si>
    <t>Buscar clientes por nombre o identificación</t>
  </si>
  <si>
    <t>Ingresar criterio de búsqueda, sistema muestra resultados coincidentes</t>
  </si>
  <si>
    <t>Búsqueda exacta o parcial muestra clientes coincidentes. Mensaje si no hay resultados.</t>
  </si>
  <si>
    <t>Consultar Cliente</t>
  </si>
  <si>
    <t>REQ008</t>
  </si>
  <si>
    <t>El sistema debe permitir desactivar clientes</t>
  </si>
  <si>
    <t>Marcar clientes como inactivos lógicamente</t>
  </si>
  <si>
    <t>Seleccionar cliente, confirmar eliminación, actualizar estado a Inactivo</t>
  </si>
  <si>
    <t>Cliente marcado Inactivo no disponible para nuevos pedidos. Historial se conserva. Mensaje de confirmación.</t>
  </si>
  <si>
    <t>Puede alternarse vista entre clientes Activos e Inactivos</t>
  </si>
  <si>
    <t>Eliminar Cliente</t>
  </si>
  <si>
    <t>REQ009</t>
  </si>
  <si>
    <t>El sistema debe permitir registrar pedidos nuevos</t>
  </si>
  <si>
    <t>Asociar cliente, productos, cantidades y calcular totales del pedido</t>
  </si>
  <si>
    <t>Seleccionar cliente y productos, especificar cantidades, sistema calcula totales y guarda pedido</t>
  </si>
  <si>
    <t>Validar cliente seleccionado, productos con cantidad mayor a 0, stock disponible, formato de fecha DD/MM/AAAA. Confirmación y ID único generado.</t>
  </si>
  <si>
    <t>Fecha auto-completada con fecha actual pero editable</t>
  </si>
  <si>
    <t>Registrar Pedido</t>
  </si>
  <si>
    <t>REQ010</t>
  </si>
  <si>
    <t>El sistema debe permitir actualizar pedidos existentes</t>
  </si>
  <si>
    <t>Modificar cliente o productos de un pedido registrado</t>
  </si>
  <si>
    <t>Seleccionar pedido, editar datos, sistema recalcula totales y actualiza inventario</t>
  </si>
  <si>
    <t>Validar cliente y productos válidos, stock disponible para aumentos. Recalculo correcto de totales. Mensaje de confirmación.</t>
  </si>
  <si>
    <t>Ajusta inventario por aumentos o disminuciones de cantidades</t>
  </si>
  <si>
    <t>Actualizar Pedido</t>
  </si>
  <si>
    <t>REQ011</t>
  </si>
  <si>
    <t>El sistema debe permitir consultar información de pedidos</t>
  </si>
  <si>
    <t>Buscar y visualizar detalles de pedidos por filtros</t>
  </si>
  <si>
    <t>Aplicar filtros (ID, cliente, fechas, estado), sistema muestra resultados</t>
  </si>
  <si>
    <t>Jordan Guaman</t>
  </si>
  <si>
    <t>Filtros funcionan correctamente. Visualización completa de información del pedido. Mensaje si no hay resultados.</t>
  </si>
  <si>
    <t>Interfaz intuitiva para filtrado</t>
  </si>
  <si>
    <t>Consultar Pedido</t>
  </si>
  <si>
    <t>REQ012</t>
  </si>
  <si>
    <t>El sistema debe permitir eliminar pedidos</t>
  </si>
  <si>
    <t>Cancelar pedidos y revertir cambios en inventario</t>
  </si>
  <si>
    <t>Seleccionar pedido, confirmar eliminación, actualizar estado a Cancelado y revertir stock</t>
  </si>
  <si>
    <t>Pedido marcado como Cancelado. Stock revertido correctamente. Historial conservado. Mensaje de confirmación.</t>
  </si>
  <si>
    <t>Eliminación lógica que conserva historial</t>
  </si>
  <si>
    <t>Eliminar Pedido</t>
  </si>
  <si>
    <t>REQ013</t>
  </si>
  <si>
    <t>El sistema debe permitir controlar el estado de pedidos</t>
  </si>
  <si>
    <t>Actualizar estado del pedido según avance</t>
  </si>
  <si>
    <t>Seleccionar pedido, elegir nuevo estado de opciones permitidas, actualizar</t>
  </si>
  <si>
    <t>Validar transiciones permitidas entre estados. No permitir cambios desde Completado o Cancelado. Mensaje de confirmación.</t>
  </si>
  <si>
    <t>Estados: Pendiente, En Proceso, En Espera, Completado, Cancelado</t>
  </si>
  <si>
    <t>Controlar Estado de Pedido</t>
  </si>
  <si>
    <t>REQ014</t>
  </si>
  <si>
    <t>El sistema debe permitir generar reportes de pedidos</t>
  </si>
  <si>
    <t>Exportar datos de pedidos filtrados a archivo Excel</t>
  </si>
  <si>
    <t>Aplicar filtros deseados, generar reporte, descargar archivo Excel con información completa</t>
  </si>
  <si>
    <t>Archivo Excel generado con información correcta según filtros. Incluye datos de pedido, cliente, productos, totales y resúmenes.</t>
  </si>
  <si>
    <t>Incluye agregados como total de ventas y productos vendidos</t>
  </si>
  <si>
    <t>Generar Reporte de Pedidos</t>
  </si>
  <si>
    <t>REQ015</t>
  </si>
  <si>
    <t>El sistema debe permitir crear mezclas personalizadas</t>
  </si>
  <si>
    <t>Seleccionar productos, especificar cantidades y calcular precio total de mezcla</t>
  </si>
  <si>
    <t>Seleccionar productos, ingresar cantidades en libras, sistema calcula precio dinámicamente</t>
  </si>
  <si>
    <t>Productos añadidos correctamente. Cantidades válidas y stock disponible. Cálculo de precio correcto. Opciones de guardar o agregar a pedido funcionan.</t>
  </si>
  <si>
    <t>Nombre de mezcla: 3-25 caracteres alfanuméricos</t>
  </si>
  <si>
    <t>Crear Nueva Mezcla Personalizada</t>
  </si>
  <si>
    <t>REQ016</t>
  </si>
  <si>
    <t>El sistema debe permitir consultar mezclas personalizadas</t>
  </si>
  <si>
    <t>Visualizar mezclas guardadas y recibir recomendaciones</t>
  </si>
  <si>
    <t>Ver mezclas predefinidas y guardadas, recibir sugerencias, ajustar cantidades</t>
  </si>
  <si>
    <t>Mezclas guardadas se muestran correctamente. Recomendaciones basadas en historial. Cálculos dinámicos de precio y nutrición funcionan.</t>
  </si>
  <si>
    <t>Recomendaciones simples basadas en compras frecuentes</t>
  </si>
  <si>
    <t>Consultar Mezclas Personalizadas</t>
  </si>
  <si>
    <t>REQ017</t>
  </si>
  <si>
    <t>El sistema debe permitir guardar mezclas personalizadas</t>
  </si>
  <si>
    <t>Almacenar mezclas diseñadas para uso futuro</t>
  </si>
  <si>
    <t>Diseñar mezcla, ingresar nombre único, guardar en perfil</t>
  </si>
  <si>
    <t>Nombre no vacío y no excede 100 caracteres. Mezcla guardada en base de datos. Mensaje de confirmación.</t>
  </si>
  <si>
    <t>Mezclas guardadas no afectan stock hasta usarse en pedido</t>
  </si>
  <si>
    <t>Guardar Mezcla Personalizada</t>
  </si>
  <si>
    <t xml:space="preserve">Media </t>
  </si>
  <si>
    <t>Baja</t>
  </si>
  <si>
    <t>Gestionar el inventario y controlar productos disponibles</t>
  </si>
  <si>
    <t>Mantener actualizada la información del inventario</t>
  </si>
  <si>
    <t>Revisar disponibilidad y detalles de productos registrados</t>
  </si>
  <si>
    <t>Mantener historial y evitar uso en nuevas transacciones</t>
  </si>
  <si>
    <t>Gestionar ventas y controlar inventario</t>
  </si>
  <si>
    <t>Revisar historial y estado de pedidos</t>
  </si>
  <si>
    <t>Anular pedidos incorrectos y restaurar stock</t>
  </si>
  <si>
    <t>Revisar información de clientes registrados</t>
  </si>
  <si>
    <t>Gestionar información de clientes y asociarlos a pedidos</t>
  </si>
  <si>
    <t>Mantener datos de clientes actualizados</t>
  </si>
  <si>
    <t>Excluirlos de nuevas selecciones pero mantener historial</t>
  </si>
  <si>
    <t>Corregir errores o ajustar pedidos antes de completarlos</t>
  </si>
  <si>
    <t>Seguimiento del proceso de cada pedido</t>
  </si>
  <si>
    <t>Análisis de ventas y toma de decisiones</t>
  </si>
  <si>
    <t>Ofrecer productos personalizados a clientes</t>
  </si>
  <si>
    <t>Reutilizar mezclas y sugerir combinaciones basadas en historial</t>
  </si>
  <si>
    <t>Reutilizar combinaciones favoritas en pedidos futuros</t>
  </si>
  <si>
    <t>REQ001-1</t>
  </si>
  <si>
    <t>Diseño del modelo de datos</t>
  </si>
  <si>
    <t>Implementación de la base de datos en SQLite</t>
  </si>
  <si>
    <t>Desarrollo de la interfaz de listado de productos</t>
  </si>
  <si>
    <t>REQ001-2</t>
  </si>
  <si>
    <t>REQ001-3</t>
  </si>
  <si>
    <t>Definir la estructura de las tablas, campos, relaciones y restricciones del sistema.</t>
  </si>
  <si>
    <t>Asegurar que la información se almacene de forma correcta y escalable.</t>
  </si>
  <si>
    <t>Incluir entidades de productos, categorías y relaciones básicas. Validar normalización.</t>
  </si>
  <si>
    <t>Crear físicamente la base de datos usando el modelo definido.</t>
  </si>
  <si>
    <t>Guardar y consultar datos reales desde la aplicación.</t>
  </si>
  <si>
    <t>Usar SQLite por ser liviano y portable. Crear scripts de creación.</t>
  </si>
  <si>
    <t>Construir una pantalla donde se visualicen los productos.</t>
  </si>
  <si>
    <t>Mostrar información al usuario de forma clara e interactiva.</t>
  </si>
  <si>
    <t>Incluir scroll y busqueda</t>
  </si>
  <si>
    <t>Selección de producto desde la lista</t>
  </si>
  <si>
    <t>Formulario de edición de producto</t>
  </si>
  <si>
    <t>Validación de datos de edición</t>
  </si>
  <si>
    <t>Actualización en base de datos</t>
  </si>
  <si>
    <t>REQ002-1</t>
  </si>
  <si>
    <t>REQ002-2</t>
  </si>
  <si>
    <t>REQ002-3</t>
  </si>
  <si>
    <t>REQ002-4</t>
  </si>
  <si>
    <t>Seleccionar un producto desde el listado</t>
  </si>
  <si>
    <t>Mostrar los datos del producto en un formulario editable</t>
  </si>
  <si>
    <t>Validar campos antes de guardar cambios</t>
  </si>
  <si>
    <t>Guardar los cambios del producto editado</t>
  </si>
  <si>
    <t>Identificar correctamente el producto a modificar</t>
  </si>
  <si>
    <t>Modificar la información de forma controlada</t>
  </si>
  <si>
    <t>Evitar errores e inconsistencias</t>
  </si>
  <si>
    <t>Mantener la base de datos actualizada</t>
  </si>
  <si>
    <t>Resaltar producto seleccionado</t>
  </si>
  <si>
    <t>Bloquear edición del código</t>
  </si>
  <si>
    <t>Stock no negativo, campos obligatorios</t>
  </si>
  <si>
    <t>Usar transacciones</t>
  </si>
  <si>
    <t>REQ003-1</t>
  </si>
  <si>
    <t>REQ003-2</t>
  </si>
  <si>
    <t>REQ003-3</t>
  </si>
  <si>
    <t>REQ003-4</t>
  </si>
  <si>
    <t>Formulario de registro de producto</t>
  </si>
  <si>
    <t>Generación automática de código</t>
  </si>
  <si>
    <t>Validación de datos de registro</t>
  </si>
  <si>
    <t>Almacenamiento en base de datos</t>
  </si>
  <si>
    <t>Ingresar datos del producto mediante un formulario</t>
  </si>
  <si>
    <t>Generar un código único automático</t>
  </si>
  <si>
    <t>Validar la información antes de guardar</t>
  </si>
  <si>
    <t>Guardar el producto en la base de datos</t>
  </si>
  <si>
    <t>Capturar correctamente la información</t>
  </si>
  <si>
    <t>Evitar duplicación de productos</t>
  </si>
  <si>
    <t>Prevenir registros incorrectos</t>
  </si>
  <si>
    <t>Persistir la información correctamente</t>
  </si>
  <si>
    <t>Campos obligatorios</t>
  </si>
  <si>
    <t>Formato letra+dígitos</t>
  </si>
  <si>
    <t>No permitir campos vacíos</t>
  </si>
  <si>
    <t>Usar transacción segura</t>
  </si>
  <si>
    <t>AnthonyMorales / Jordan Guaman</t>
  </si>
  <si>
    <t>El Sprint concluyó con un resultado altamente exitoso y una predictibilidad excepcional, ya que el equipo logró completar el 100% de las 35 Horas Estimadas dentro de los 7 días planificados, alcanzando la meta de 0 horas restantes. El equipo mantuvo un ritmo de progreso notablemente uniforme, completando un promedio constante de 7 horas de esfuerzo por día, lo cual se refleja en que la línea de progreso real en el Burndown Chart se mantuvo consistentemente alineada con la línea ideal, indicando un flujo de trabajo estable, libre de estancamientos o sobrecargas tardías, y sirviendo este Sprint como un modelo de rendimiento óptimo para la calibración futura de la capacidad.</t>
  </si>
  <si>
    <t>HORAS</t>
  </si>
  <si>
    <t>Así podré...</t>
  </si>
  <si>
    <t>Encargado</t>
  </si>
  <si>
    <t>Notas</t>
  </si>
  <si>
    <t>Código de producto no se libera para reutilización</t>
  </si>
  <si>
    <t>REQ004-1</t>
  </si>
  <si>
    <t>Interfaz de confirmación</t>
  </si>
  <si>
    <t>Crear un modal o alerta de confirmación antes de eliminar</t>
  </si>
  <si>
    <t>Evitar eliminaciones accidentales</t>
  </si>
  <si>
    <t>Usar estilos de advertencia (rojo)</t>
  </si>
  <si>
    <t>REQ004-2</t>
  </si>
  <si>
    <t>Actualización de estado (Lógica)</t>
  </si>
  <si>
    <t>Cambiar el atributo 'estado' a 'Inactivo' en la base de datos</t>
  </si>
  <si>
    <t>Mantener integridad referencial sin borrar físicamente</t>
  </si>
  <si>
    <t>Implementar "Soft Delete"</t>
  </si>
  <si>
    <t>REQ004-3</t>
  </si>
  <si>
    <t>Refresco de lista</t>
  </si>
  <si>
    <t>Actualizar la vista de productos excluyendo los inactivos</t>
  </si>
  <si>
    <t>Visualizar solo productos vigentes</t>
  </si>
  <si>
    <t>Optimizar consulta SQL</t>
  </si>
  <si>
    <t>REQ005-1</t>
  </si>
  <si>
    <t>Cabecera del pedido</t>
  </si>
  <si>
    <t>Diseñar formulario con selección de cliente y fecha</t>
  </si>
  <si>
    <t>Identificar el origen y momento de la venta</t>
  </si>
  <si>
    <t>Picker de fecha funcional</t>
  </si>
  <si>
    <t>REQ005-2</t>
  </si>
  <si>
    <t>Detalle de artículos</t>
  </si>
  <si>
    <t>Implementar selector de productos y entrada de cantidades</t>
  </si>
  <si>
    <t>Armar el carrito de compra</t>
  </si>
  <si>
    <t>Validar que cantidad &gt; 0</t>
  </si>
  <si>
    <t>REQ005-3</t>
  </si>
  <si>
    <t>Cálculo de totales</t>
  </si>
  <si>
    <t>Programar lógica de subtotal, impuestos y total general</t>
  </si>
  <si>
    <t>Informar el costo final en tiempo real</t>
  </si>
  <si>
    <t>Cálculos automáticos al cambiar cantidad</t>
  </si>
  <si>
    <t>REQ005-4</t>
  </si>
  <si>
    <t>Persistencia y Stock</t>
  </si>
  <si>
    <t>Guardar pedido y descontar cantidades del inventario</t>
  </si>
  <si>
    <t>Mantener el stock actualizado y registro de venta</t>
  </si>
  <si>
    <t>Usar transacciones ACID</t>
  </si>
  <si>
    <t>REQ006-1</t>
  </si>
  <si>
    <t>Panel de filtros</t>
  </si>
  <si>
    <t>Construir controles de búsqueda por múltiples criterios</t>
  </si>
  <si>
    <t>Localizar pedidos específicos rápidamente</t>
  </si>
  <si>
    <t>Filtros combinables</t>
  </si>
  <si>
    <t>REQ006-2</t>
  </si>
  <si>
    <t>Grilla de resultados</t>
  </si>
  <si>
    <t>Visualizar lista de pedidos con información resumida</t>
  </si>
  <si>
    <t>Tener un panorama general de las ventas</t>
  </si>
  <si>
    <t>Incluir paginación</t>
  </si>
  <si>
    <t>REQ006-3</t>
  </si>
  <si>
    <t>Vista de detalle</t>
  </si>
  <si>
    <t>Permitir ver el detalle completo de un pedido seleccionado</t>
  </si>
  <si>
    <t>Revisar los artículos incluidos en una venta</t>
  </si>
  <si>
    <t>Solo lectura</t>
  </si>
  <si>
    <t>REQ007-1</t>
  </si>
  <si>
    <t>Lógica de cancelación</t>
  </si>
  <si>
    <t>Cambiar estatus de pedido a 'Cancelado'</t>
  </si>
  <si>
    <t>Invalidar la venta sin borrar el registro</t>
  </si>
  <si>
    <t>Validar que no esté ya cancelado</t>
  </si>
  <si>
    <t>REQ007-2</t>
  </si>
  <si>
    <t>Reversión de Inventario</t>
  </si>
  <si>
    <t>Devolver las cantidades de productos al stock disponible</t>
  </si>
  <si>
    <t>Mantener la coherencia del almacén</t>
  </si>
  <si>
    <t>Lógica inversa al REQ005-4</t>
  </si>
  <si>
    <t>REQ007-3</t>
  </si>
  <si>
    <t>Auditoría de cambios</t>
  </si>
  <si>
    <t>Registrar quién y cuándo canceló el pedido</t>
  </si>
  <si>
    <t>Tener trazabilidad de movimientos sensibles</t>
  </si>
  <si>
    <t>Guardar en tabla de logs</t>
  </si>
  <si>
    <t>Implementar búsqueda por nombre o DNI</t>
  </si>
  <si>
    <t>REQ008-1</t>
  </si>
  <si>
    <t>Interfaz de búsqueda</t>
  </si>
  <si>
    <t>Crear barra de búsqueda y filtros de estado</t>
  </si>
  <si>
    <t>Localizar clientes rápidamente</t>
  </si>
  <si>
    <t>Diseño responsivo</t>
  </si>
  <si>
    <t>REQ008-2</t>
  </si>
  <si>
    <t>Lógica de filtrado</t>
  </si>
  <si>
    <t>Programar consultas SQL con operadores LIKE</t>
  </si>
  <si>
    <t>Obtener coincidencias parciales</t>
  </si>
  <si>
    <t>Optimizar índices de búsqueda</t>
  </si>
  <si>
    <t>REQ008-3</t>
  </si>
  <si>
    <t>Visualización de lista</t>
  </si>
  <si>
    <t>Diseñar tabla de resultados con acciones (Editar/Borrar)</t>
  </si>
  <si>
    <t>Gestionar la cartera de clientes</t>
  </si>
  <si>
    <t>Incluir scroll infinito o paginación</t>
  </si>
  <si>
    <t>Ingresar datos en formulario, validar formatos y guardar</t>
  </si>
  <si>
    <t>Ingresar datos en formulario, validar formatos y guardar en base de datos</t>
  </si>
  <si>
    <t>REQ009-1</t>
  </si>
  <si>
    <t>Formulario de registro</t>
  </si>
  <si>
    <t>Diseñar campos de texto para datos personales</t>
  </si>
  <si>
    <t>Capturar la información del cliente</t>
  </si>
  <si>
    <t>Validar campos obligatorios</t>
  </si>
  <si>
    <t>REQ009-2</t>
  </si>
  <si>
    <t>Validación de formatos</t>
  </si>
  <si>
    <t>Implementar máscaras (teléfono, email, DNI)</t>
  </si>
  <si>
    <t>Asegurar la calidad de los datos</t>
  </si>
  <si>
    <t>Usar expresiones regulares</t>
  </si>
  <si>
    <t>REQ009-3</t>
  </si>
  <si>
    <t>Persistencia de datos</t>
  </si>
  <si>
    <t>Crear función de guardado en la tabla Clientes</t>
  </si>
  <si>
    <t>Almacenar nuevos clientes permanentemente</t>
  </si>
  <si>
    <t>Validar DNI duplicado</t>
  </si>
  <si>
    <t>Seleccionar cliente de lista, editar campos y guardar cambios</t>
  </si>
  <si>
    <t>REQ010-1</t>
  </si>
  <si>
    <t>Carga de datos</t>
  </si>
  <si>
    <t>Programar la recuperación de datos al seleccionar cliente</t>
  </si>
  <si>
    <t>Editar información existente sin reescribir todo</t>
  </si>
  <si>
    <t>Pre-cargar el formulario</t>
  </si>
  <si>
    <t>REQ010-2</t>
  </si>
  <si>
    <t>Edición y Validación</t>
  </si>
  <si>
    <t>Permitir modificar campos manteniendo reglas de negocio</t>
  </si>
  <si>
    <t>Mantener la información actualizada</t>
  </si>
  <si>
    <t>Bloquear edición de ID único</t>
  </si>
  <si>
    <t>REQ010-3</t>
  </si>
  <si>
    <t>Actualización en BD</t>
  </si>
  <si>
    <t>Ejecutar el comando UPDATE con los nuevos valores</t>
  </si>
  <si>
    <t>Reflejar los cambios en el sistema</t>
  </si>
  <si>
    <t>Usar transacciones seguras</t>
  </si>
  <si>
    <t>Alternar vista entre Activos e Inactivos</t>
  </si>
  <si>
    <t>REQ011-1</t>
  </si>
  <si>
    <t>Confirmación de baja</t>
  </si>
  <si>
    <t>Crear diálogo de confirmación de eliminación</t>
  </si>
  <si>
    <t>Prevenir bajas accidentales</t>
  </si>
  <si>
    <t>Estilo visual de alerta</t>
  </si>
  <si>
    <t>REQ011-2</t>
  </si>
  <si>
    <t>Baja Lógica</t>
  </si>
  <si>
    <t>Cambiar estado del cliente a 'Inactivo'</t>
  </si>
  <si>
    <t>Deshabilitar sin perder el historial de pedidos</t>
  </si>
  <si>
    <t>No borrar físicamente</t>
  </si>
  <si>
    <t>REQ011-3</t>
  </si>
  <si>
    <t>Switch de visualización</t>
  </si>
  <si>
    <t>Implementar filtro para ver clientes activos vs. inactivos</t>
  </si>
  <si>
    <t>Gestionar clientes antiguos o suspendidos</t>
  </si>
  <si>
    <t>Toggle de visualización</t>
  </si>
  <si>
    <t>Ajusta inventario por aumentos o disminuciones</t>
  </si>
  <si>
    <t>REQ012-1</t>
  </si>
  <si>
    <t>Interfaz de edición</t>
  </si>
  <si>
    <t>Habilitar edición en el formulario de pedido existente</t>
  </si>
  <si>
    <t>Modificar cantidades o productos erróneos</t>
  </si>
  <si>
    <t>Cargar datos actuales</t>
  </si>
  <si>
    <t>REQ012-2</t>
  </si>
  <si>
    <t>Lógica de ajuste de Stock</t>
  </si>
  <si>
    <t>Calcular la diferencia entre cantidad vieja y nueva para ajustar inventario</t>
  </si>
  <si>
    <t>Mantener el stock real sincronizado</t>
  </si>
  <si>
    <t>Manejar saldos negativos</t>
  </si>
  <si>
    <t>REQ012-3</t>
  </si>
  <si>
    <t>Recálculo de Totales</t>
  </si>
  <si>
    <t>Actualizar dinámicamente el precio total del pedido</t>
  </si>
  <si>
    <t>Reflejar el nuevo costo tras la edición</t>
  </si>
  <si>
    <t>Validar precios vigentes</t>
  </si>
  <si>
    <t>Controlar Estado</t>
  </si>
  <si>
    <t>REQ013-1</t>
  </si>
  <si>
    <t>Selector de estados</t>
  </si>
  <si>
    <t>Implementar un dropdown con los estados permitidos</t>
  </si>
  <si>
    <t>Cambiar la etapa logística del pedido</t>
  </si>
  <si>
    <t>Solo estados definidos</t>
  </si>
  <si>
    <t>REQ013-2</t>
  </si>
  <si>
    <t>Máquina de estados</t>
  </si>
  <si>
    <t>Validar que el cambio de estado sea lógico (ej. de Pendiente a Completado)</t>
  </si>
  <si>
    <t>Evitar saltos de proceso incorrectos</t>
  </si>
  <si>
    <t>Reglas de negocio</t>
  </si>
  <si>
    <t>REQ013-3</t>
  </si>
  <si>
    <t>Actualización de estatus</t>
  </si>
  <si>
    <t>Persistir el nuevo estado en la base de datos</t>
  </si>
  <si>
    <t>Informar el progreso en tiempo real</t>
  </si>
  <si>
    <t>Actualizar fecha de cambio</t>
  </si>
  <si>
    <t>Generar Reporte</t>
  </si>
  <si>
    <t>REQ014-1</t>
  </si>
  <si>
    <t>Motor de filtrado</t>
  </si>
  <si>
    <t>Crear interfaz para seleccionar rango de fechas y categorías</t>
  </si>
  <si>
    <t>Extraer datos específicos para el reporte</t>
  </si>
  <si>
    <t>Filtros por cliente/producto</t>
  </si>
  <si>
    <t>REQ014-2</t>
  </si>
  <si>
    <t>Lógica de agregación</t>
  </si>
  <si>
    <t>Calcular sumatorias de ventas y conteo de productos</t>
  </si>
  <si>
    <t>Obtener indicadores clave de rendimiento</t>
  </si>
  <si>
    <t>Agrupar por categorías</t>
  </si>
  <si>
    <t>REQ014-3</t>
  </si>
  <si>
    <t>Exportación a Excel</t>
  </si>
  <si>
    <t>Implementar librería para generar y descargar el archivo .xlsx</t>
  </si>
  <si>
    <t>Analizar datos fuera del sistema</t>
  </si>
  <si>
    <t>Formato de tabla limpia</t>
  </si>
  <si>
    <t>Mezcla Personalizada</t>
  </si>
  <si>
    <t>Nombre: 3-25 caracteres alfanuméricos</t>
  </si>
  <si>
    <t>REQ015-1</t>
  </si>
  <si>
    <t>Creador de mezclas</t>
  </si>
  <si>
    <t>Diseñar interfaz para combinar múltiples productos por peso</t>
  </si>
  <si>
    <t>Crear productos únicos a solicitud del cliente</t>
  </si>
  <si>
    <t>Validar nombre (3-25 char)</t>
  </si>
  <si>
    <t>REQ015-2</t>
  </si>
  <si>
    <t>Algoritmo de costos</t>
  </si>
  <si>
    <t>Programar cálculo de precio basado en el costo por libra de cada componente</t>
  </si>
  <si>
    <t>Asignar un precio justo a la mezcla</t>
  </si>
  <si>
    <t>Conversión de unidades</t>
  </si>
  <si>
    <t>REQ015-3</t>
  </si>
  <si>
    <t>Guardado de receta</t>
  </si>
  <si>
    <t>Almacenar la composición de la mezcla personalizada</t>
  </si>
  <si>
    <t>Reutilizar la mezcla en futuros pedidos</t>
  </si>
  <si>
    <t>Tabla de composición</t>
  </si>
  <si>
    <t>Consultar Mezclas</t>
  </si>
  <si>
    <t>Recomendaciones basadas en compras frecuentes</t>
  </si>
  <si>
    <t>REQ016-1</t>
  </si>
  <si>
    <t>Interfaz de catálogo</t>
  </si>
  <si>
    <t>Diseñar pantalla para visualizar tarjetas de mezclas guardadas</t>
  </si>
  <si>
    <t>Explorar opciones de mezclas rápidamente</t>
  </si>
  <si>
    <t>Incluir miniaturas visuales</t>
  </si>
  <si>
    <t>REQ016-2</t>
  </si>
  <si>
    <t>Motor de sugerencias</t>
  </si>
  <si>
    <t>Implementar algoritmo que analice pedidos pasados para sugerir mezclas</t>
  </si>
  <si>
    <t>Ofrecer opciones personalizadas al cliente</t>
  </si>
  <si>
    <t>Basado en historial del cliente</t>
  </si>
  <si>
    <t>REQ016-3</t>
  </si>
  <si>
    <t>Ajuste dinámico</t>
  </si>
  <si>
    <t>Permitir modificar cantidades de la mezcla antes de agregar al pedido</t>
  </si>
  <si>
    <t>Personalizar la mezcla final en tiempo real</t>
  </si>
  <si>
    <t>Recalcular precio al instante</t>
  </si>
  <si>
    <t>Guardar Mezcla</t>
  </si>
  <si>
    <t>REQ017-1</t>
  </si>
  <si>
    <t>Formulario de creación</t>
  </si>
  <si>
    <t>Crear vista para asignar componentes y nombre único (3-25 caracteres)</t>
  </si>
  <si>
    <t>Definir nuevas recetas propias</t>
  </si>
  <si>
    <t>Validar nombre único</t>
  </si>
  <si>
    <t>REQ017-2</t>
  </si>
  <si>
    <t>Persistencia de Perfil</t>
  </si>
  <si>
    <t>Guardar la estructura de la mezcla vinculada al perfil del propietario</t>
  </si>
  <si>
    <t>Recuperar mezclas en sesiones futuras</t>
  </si>
  <si>
    <t>Guardar en tabla 'Mezclas_Perfil'</t>
  </si>
  <si>
    <t>REQ017-3</t>
  </si>
  <si>
    <t>Validación de Stock</t>
  </si>
  <si>
    <t>Verificar disponibilidad de ingredientes solo al intentar añadir al pedido</t>
  </si>
  <si>
    <t>Evitar que una receta guardada bloquee inventario</t>
  </si>
  <si>
    <t>Notificar si falta un componente</t>
  </si>
  <si>
    <t>SPRINT 0</t>
  </si>
  <si>
    <t>SPRINT 1</t>
  </si>
  <si>
    <t>SPRINT 2</t>
  </si>
  <si>
    <t>SPRINT 3</t>
  </si>
  <si>
    <t>SPRINT 4</t>
  </si>
  <si>
    <t>Día 1</t>
  </si>
  <si>
    <t>Día 2</t>
  </si>
  <si>
    <t>Día 3</t>
  </si>
  <si>
    <t>Día 4</t>
  </si>
  <si>
    <t>Día 5</t>
  </si>
  <si>
    <t>Total Horas</t>
  </si>
  <si>
    <t>SPRINT FINAL</t>
  </si>
  <si>
    <t>Semana 1</t>
  </si>
  <si>
    <t>Semana 2</t>
  </si>
  <si>
    <t>Semana 3</t>
  </si>
  <si>
    <t>Semana 4</t>
  </si>
  <si>
    <t>Semana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</si>
</sst>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5" x14ac:knownFonts="1">
    <font>
      <sz val="10"/>
      <color rgb="FF000000"/>
      <name val="Arial"/>
      <scheme val="minor"/>
    </font>
    <font>
      <b/>
      <sz val="12"/>
      <color rgb="FFFF0000"/>
      <name val="Arial"/>
    </font>
    <font>
      <sz val="12"/>
      <color rgb="FFFF0000"/>
      <name val="Arial"/>
    </font>
    <font>
      <sz val="10"/>
      <color rgb="FF2F5496"/>
      <name val="Arial"/>
    </font>
    <font>
      <sz val="10"/>
      <color rgb="FF0000FF"/>
      <name val="Arial"/>
    </font>
    <font>
      <sz val="10"/>
      <color theme="1"/>
      <name val="Arial"/>
    </font>
    <font>
      <b/>
      <sz val="10"/>
      <color theme="1"/>
      <name val="Arial"/>
    </font>
    <font>
      <sz val="10"/>
      <color rgb="FF000000"/>
      <name val="Arial"/>
    </font>
    <font>
      <b/>
      <i/>
      <sz val="11"/>
      <color rgb="FF9C6500"/>
      <name val="Arial Narrow"/>
    </font>
    <font>
      <sz val="10"/>
      <color theme="1"/>
      <name val="Arial Narrow"/>
    </font>
    <font>
      <sz val="10"/>
      <color rgb="FF000000"/>
      <name val="Arial Narrow"/>
    </font>
    <font>
      <sz val="11"/>
      <color theme="1"/>
      <name val="Arial Narrow"/>
    </font>
    <font>
      <sz val="8"/>
      <name val="Arial"/>
      <scheme val="minor"/>
    </font>
    <font>
      <b/>
      <sz val="10"/>
      <color rgb="FF000000"/>
      <name val="Arial"/>
      <family val="2"/>
      <scheme val="minor"/>
    </font>
    <font>
      <sz val="10"/>
      <color rgb="FF0000FF"/>
      <name val="Arial"/>
      <family val="2"/>
    </font>
  </fonts>
  <fills count="8">
    <fill>
      <patternFill patternType="none"/>
    </fill>
    <fill>
      <patternFill patternType="gray125"/>
    </fill>
    <fill>
      <patternFill patternType="solid">
        <fgColor rgb="FFFFFFFF"/>
        <bgColor rgb="FFFFFFFF"/>
      </patternFill>
    </fill>
    <fill>
      <patternFill patternType="solid">
        <fgColor rgb="FF6AA84F"/>
        <bgColor rgb="FF6AA84F"/>
      </patternFill>
    </fill>
    <fill>
      <patternFill patternType="solid">
        <fgColor rgb="FF00FF00"/>
        <bgColor rgb="FF00FF00"/>
      </patternFill>
    </fill>
    <fill>
      <patternFill patternType="solid">
        <fgColor rgb="FFFF9900"/>
        <bgColor rgb="FFFF9900"/>
      </patternFill>
    </fill>
    <fill>
      <patternFill patternType="solid">
        <fgColor rgb="FFFFFFCC"/>
        <bgColor rgb="FFFFFFCC"/>
      </patternFill>
    </fill>
    <fill>
      <patternFill patternType="solid">
        <fgColor rgb="FFFFFF00"/>
        <bgColor rgb="FFFFFF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top/>
      <bottom style="thin">
        <color indexed="64"/>
      </bottom>
      <diagonal/>
    </border>
    <border>
      <left/>
      <right/>
      <top style="thin">
        <color indexed="64"/>
      </top>
      <bottom/>
      <diagonal/>
    </border>
  </borders>
  <cellStyleXfs count="1">
    <xf numFmtId="0" fontId="0" fillId="0" borderId="0"/>
  </cellStyleXfs>
  <cellXfs count="58">
    <xf numFmtId="0" fontId="0" fillId="0" borderId="0" xfId="0"/>
    <xf numFmtId="0" fontId="1" fillId="0" borderId="1" xfId="0" applyFont="1" applyBorder="1" applyAlignment="1">
      <alignment horizontal="center" wrapText="1"/>
    </xf>
    <xf numFmtId="0" fontId="2" fillId="0" borderId="0" xfId="0" applyFont="1"/>
    <xf numFmtId="0" fontId="3" fillId="0" borderId="1" xfId="0" applyFont="1" applyBorder="1" applyAlignment="1">
      <alignment wrapText="1"/>
    </xf>
    <xf numFmtId="0" fontId="3" fillId="0" borderId="0" xfId="0" applyFont="1"/>
    <xf numFmtId="0" fontId="6" fillId="0" borderId="0" xfId="0" applyFont="1" applyAlignment="1">
      <alignment horizontal="center"/>
    </xf>
    <xf numFmtId="0" fontId="5" fillId="0" borderId="0" xfId="0" applyFont="1"/>
    <xf numFmtId="0" fontId="7" fillId="0" borderId="0" xfId="0" applyFont="1"/>
    <xf numFmtId="0" fontId="5" fillId="0" borderId="0" xfId="0" applyFont="1" applyAlignment="1">
      <alignment horizontal="right"/>
    </xf>
    <xf numFmtId="0" fontId="4" fillId="0" borderId="0" xfId="0" applyFont="1"/>
    <xf numFmtId="0" fontId="5" fillId="3" borderId="2" xfId="0" applyFont="1" applyFill="1" applyBorder="1" applyAlignment="1">
      <alignment horizontal="right"/>
    </xf>
    <xf numFmtId="0" fontId="5" fillId="4" borderId="2" xfId="0" applyFont="1" applyFill="1" applyBorder="1" applyAlignment="1">
      <alignment horizontal="right"/>
    </xf>
    <xf numFmtId="0" fontId="5" fillId="5" borderId="2" xfId="0" applyFont="1" applyFill="1" applyBorder="1"/>
    <xf numFmtId="0" fontId="8"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0" borderId="3" xfId="0" applyFont="1" applyBorder="1" applyAlignment="1">
      <alignment horizontal="center" vertical="center" wrapText="1"/>
    </xf>
    <xf numFmtId="164" fontId="9"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0" borderId="3" xfId="0" applyNumberFormat="1" applyFont="1" applyBorder="1" applyAlignment="1">
      <alignment horizontal="center" vertical="center" wrapText="1"/>
    </xf>
    <xf numFmtId="0" fontId="9" fillId="0" borderId="4"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5" xfId="0" applyFont="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center" wrapText="1"/>
    </xf>
    <xf numFmtId="164" fontId="9" fillId="0" borderId="5" xfId="0" applyNumberFormat="1" applyFont="1" applyBorder="1" applyAlignment="1">
      <alignment horizontal="center" vertical="center" wrapText="1"/>
    </xf>
    <xf numFmtId="0" fontId="10" fillId="2" borderId="1" xfId="0" applyFont="1" applyFill="1" applyBorder="1" applyAlignment="1">
      <alignment horizontal="center" vertical="center" wrapText="1"/>
    </xf>
    <xf numFmtId="164" fontId="9" fillId="0" borderId="1"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xf numFmtId="0" fontId="9" fillId="0" borderId="1" xfId="0" applyFont="1" applyBorder="1" applyAlignment="1">
      <alignment vertical="center" wrapText="1"/>
    </xf>
    <xf numFmtId="0" fontId="10" fillId="2" borderId="1" xfId="0" applyFont="1" applyFill="1" applyBorder="1" applyAlignment="1">
      <alignment horizontal="left" vertical="center" wrapText="1"/>
    </xf>
    <xf numFmtId="0" fontId="11" fillId="0" borderId="1" xfId="0" applyFont="1" applyBorder="1" applyAlignment="1">
      <alignment horizontal="center" wrapText="1"/>
    </xf>
    <xf numFmtId="0" fontId="9" fillId="7" borderId="1" xfId="0" applyFont="1" applyFill="1" applyBorder="1" applyAlignment="1">
      <alignment vertical="center" wrapText="1"/>
    </xf>
    <xf numFmtId="0" fontId="9" fillId="0" borderId="3" xfId="0" applyFont="1" applyBorder="1" applyAlignment="1">
      <alignment vertical="center" wrapText="1"/>
    </xf>
    <xf numFmtId="0" fontId="11" fillId="0" borderId="3" xfId="0" applyFont="1" applyBorder="1" applyAlignment="1">
      <alignment horizontal="center" wrapText="1"/>
    </xf>
    <xf numFmtId="0" fontId="9" fillId="0" borderId="4" xfId="0" applyFont="1" applyBorder="1" applyAlignment="1">
      <alignment vertical="center" wrapText="1"/>
    </xf>
    <xf numFmtId="164" fontId="9" fillId="0" borderId="4" xfId="0" applyNumberFormat="1" applyFont="1" applyBorder="1" applyAlignment="1">
      <alignment horizontal="center" vertical="center" wrapText="1"/>
    </xf>
    <xf numFmtId="0" fontId="9" fillId="2" borderId="4" xfId="0" applyFont="1" applyFill="1" applyBorder="1" applyAlignment="1">
      <alignment horizontal="center" vertical="center" wrapText="1"/>
    </xf>
    <xf numFmtId="0" fontId="11" fillId="0" borderId="4" xfId="0" applyFont="1" applyBorder="1" applyAlignment="1">
      <alignment horizontal="center" wrapText="1"/>
    </xf>
    <xf numFmtId="0" fontId="4" fillId="0" borderId="1" xfId="0" applyFont="1" applyBorder="1" applyAlignment="1">
      <alignment horizontal="center" vertical="center" wrapText="1"/>
    </xf>
    <xf numFmtId="0" fontId="0" fillId="0" borderId="0" xfId="0"/>
    <xf numFmtId="0" fontId="14" fillId="0" borderId="1" xfId="0" applyFont="1" applyBorder="1" applyAlignment="1">
      <alignment horizontal="center" vertical="center" wrapText="1"/>
    </xf>
    <xf numFmtId="0" fontId="14" fillId="0" borderId="0" xfId="0" applyFont="1"/>
    <xf numFmtId="0" fontId="3" fillId="0" borderId="0" xfId="0" applyFont="1" applyAlignment="1">
      <alignment vertical="center" wrapText="1"/>
    </xf>
    <xf numFmtId="0" fontId="0" fillId="0" borderId="0" xfId="0" applyAlignment="1"/>
    <xf numFmtId="0" fontId="4" fillId="0" borderId="2" xfId="0" applyFont="1" applyBorder="1"/>
    <xf numFmtId="0" fontId="5" fillId="0" borderId="2" xfId="0" applyFont="1" applyBorder="1" applyAlignment="1">
      <alignment horizontal="right"/>
    </xf>
    <xf numFmtId="0" fontId="4" fillId="0" borderId="6" xfId="0" applyFont="1" applyBorder="1"/>
    <xf numFmtId="0" fontId="5" fillId="0" borderId="6" xfId="0" applyFont="1" applyBorder="1" applyAlignment="1">
      <alignment horizontal="right"/>
    </xf>
    <xf numFmtId="0" fontId="14" fillId="0" borderId="7" xfId="0" applyFont="1" applyBorder="1"/>
    <xf numFmtId="0" fontId="5" fillId="0" borderId="7" xfId="0" applyFont="1" applyBorder="1" applyAlignment="1">
      <alignment horizontal="right"/>
    </xf>
    <xf numFmtId="0" fontId="14" fillId="0" borderId="2" xfId="0" applyFont="1" applyBorder="1"/>
    <xf numFmtId="0" fontId="14" fillId="0" borderId="6" xfId="0" applyFont="1" applyBorder="1"/>
    <xf numFmtId="0" fontId="13" fillId="0" borderId="0" xfId="0" applyFont="1" applyAlignment="1">
      <alignment horizontal="center" vertical="center"/>
    </xf>
    <xf numFmtId="0" fontId="3" fillId="0" borderId="0" xfId="0" applyFont="1" applyAlignment="1">
      <alignment horizontal="left" vertical="center" wrapText="1"/>
    </xf>
    <xf numFmtId="0" fontId="0" fillId="0" borderId="0" xfId="0"/>
    <xf numFmtId="0" fontId="5" fillId="4" borderId="2" xfId="0" applyFont="1" applyFill="1" applyBorder="1" applyAlignment="1">
      <alignment vertical="center"/>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burdonchart!$C$19:$H$19</c:f>
              <c:strCache>
                <c:ptCount val="6"/>
                <c:pt idx="0">
                  <c:v>35</c:v>
                </c:pt>
                <c:pt idx="1">
                  <c:v>24.5</c:v>
                </c:pt>
                <c:pt idx="2">
                  <c:v>15</c:v>
                </c:pt>
                <c:pt idx="3">
                  <c:v>6.5</c:v>
                </c:pt>
                <c:pt idx="4">
                  <c:v>3</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1462-431B-AAF3-0E0A82C758EF}"/>
            </c:ext>
          </c:extLst>
        </c:ser>
        <c:ser>
          <c:idx val="1"/>
          <c:order val="1"/>
          <c:tx>
            <c:strRef>
              <c:f>burdonchart!$C$20:$H$20</c:f>
              <c:strCache>
                <c:ptCount val="6"/>
                <c:pt idx="0">
                  <c:v>35</c:v>
                </c:pt>
                <c:pt idx="1">
                  <c:v>28</c:v>
                </c:pt>
                <c:pt idx="2">
                  <c:v>21</c:v>
                </c:pt>
                <c:pt idx="3">
                  <c:v>14</c:v>
                </c:pt>
                <c:pt idx="4">
                  <c:v>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burdonchart!$C$60:$H$60</c:f>
              <c:strCache>
                <c:ptCount val="6"/>
                <c:pt idx="0">
                  <c:v>34.5</c:v>
                </c:pt>
                <c:pt idx="1">
                  <c:v>29.5</c:v>
                </c:pt>
                <c:pt idx="2">
                  <c:v>23</c:v>
                </c:pt>
                <c:pt idx="3">
                  <c:v>15.5</c:v>
                </c:pt>
                <c:pt idx="4">
                  <c:v>9.5</c:v>
                </c:pt>
                <c:pt idx="5">
                  <c:v>0</c:v>
                </c:pt>
              </c:strCache>
            </c:strRef>
          </c:tx>
          <c:spPr>
            <a:ln w="28575" cmpd="sng">
              <a:solidFill>
                <a:schemeClr val="accent1"/>
              </a:solidFill>
            </a:ln>
          </c:spPr>
          <c:marker>
            <c:symbol val="none"/>
          </c:marker>
          <c:val>
            <c:numRef>
              <c:f>burdonchart!$C$61:$H$61</c:f>
              <c:numCache>
                <c:formatCode>General</c:formatCode>
                <c:ptCount val="6"/>
                <c:pt idx="0">
                  <c:v>34.5</c:v>
                </c:pt>
                <c:pt idx="1">
                  <c:v>27.6</c:v>
                </c:pt>
                <c:pt idx="2">
                  <c:v>20.700000000000003</c:v>
                </c:pt>
                <c:pt idx="3">
                  <c:v>13.800000000000002</c:v>
                </c:pt>
                <c:pt idx="4">
                  <c:v>6.9000000000000021</c:v>
                </c:pt>
                <c:pt idx="5">
                  <c:v>0</c:v>
                </c:pt>
              </c:numCache>
            </c:numRef>
          </c:val>
          <c:smooth val="0"/>
          <c:extLst>
            <c:ext xmlns:c16="http://schemas.microsoft.com/office/drawing/2014/chart" uri="{C3380CC4-5D6E-409C-BE32-E72D297353CC}">
              <c16:uniqueId val="{00000000-AE26-43BD-B30E-6386824DDFA9}"/>
            </c:ext>
          </c:extLst>
        </c:ser>
        <c:ser>
          <c:idx val="1"/>
          <c:order val="1"/>
          <c:tx>
            <c:strRef>
              <c:f>burdonchart!$C$61:$H$61</c:f>
              <c:strCache>
                <c:ptCount val="6"/>
                <c:pt idx="0">
                  <c:v>34.5</c:v>
                </c:pt>
                <c:pt idx="1">
                  <c:v>27.6</c:v>
                </c:pt>
                <c:pt idx="2">
                  <c:v>20.7</c:v>
                </c:pt>
                <c:pt idx="3">
                  <c:v>13.8</c:v>
                </c:pt>
                <c:pt idx="4">
                  <c:v>6.9</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AE26-43BD-B30E-6386824DDFA9}"/>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burdonchart!$C$100:$H$100</c:f>
              <c:strCache>
                <c:ptCount val="6"/>
                <c:pt idx="0">
                  <c:v>32</c:v>
                </c:pt>
                <c:pt idx="1">
                  <c:v>26.5</c:v>
                </c:pt>
                <c:pt idx="2">
                  <c:v>21</c:v>
                </c:pt>
                <c:pt idx="3">
                  <c:v>16</c:v>
                </c:pt>
                <c:pt idx="4">
                  <c:v>8.5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5B9B-45D1-AF26-115CDF5E4A83}"/>
            </c:ext>
          </c:extLst>
        </c:ser>
        <c:ser>
          <c:idx val="1"/>
          <c:order val="1"/>
          <c:tx>
            <c:strRef>
              <c:f>burdonchart!$C$101:$H$101</c:f>
              <c:strCache>
                <c:ptCount val="6"/>
                <c:pt idx="0">
                  <c:v>32</c:v>
                </c:pt>
                <c:pt idx="1">
                  <c:v>25.6</c:v>
                </c:pt>
                <c:pt idx="2">
                  <c:v>19.2</c:v>
                </c:pt>
                <c:pt idx="3">
                  <c:v>12.8</c:v>
                </c:pt>
                <c:pt idx="4">
                  <c:v>6.4</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5B9B-45D1-AF26-115CDF5E4A83}"/>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burdonchart!$C$131:$H$131</c:f>
              <c:strCache>
                <c:ptCount val="6"/>
                <c:pt idx="0">
                  <c:v>33</c:v>
                </c:pt>
                <c:pt idx="1">
                  <c:v>28</c:v>
                </c:pt>
                <c:pt idx="2">
                  <c:v>22</c:v>
                </c:pt>
                <c:pt idx="3">
                  <c:v>17</c:v>
                </c:pt>
                <c:pt idx="4">
                  <c:v>8</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4A9A-4092-9C96-8D3A3D8866D5}"/>
            </c:ext>
          </c:extLst>
        </c:ser>
        <c:ser>
          <c:idx val="1"/>
          <c:order val="1"/>
          <c:tx>
            <c:strRef>
              <c:f>burdonchart!$C$132:$H$132</c:f>
              <c:strCache>
                <c:ptCount val="6"/>
                <c:pt idx="0">
                  <c:v>33</c:v>
                </c:pt>
                <c:pt idx="1">
                  <c:v>26.4</c:v>
                </c:pt>
                <c:pt idx="2">
                  <c:v>19.8</c:v>
                </c:pt>
                <c:pt idx="3">
                  <c:v>13.2</c:v>
                </c:pt>
                <c:pt idx="4">
                  <c:v>6.6</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4A9A-4092-9C96-8D3A3D8866D5}"/>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burdonchart!$C$151:$H$151</c:f>
              <c:strCache>
                <c:ptCount val="6"/>
                <c:pt idx="0">
                  <c:v>18.5</c:v>
                </c:pt>
                <c:pt idx="1">
                  <c:v>15.5</c:v>
                </c:pt>
                <c:pt idx="2">
                  <c:v>11.5</c:v>
                </c:pt>
                <c:pt idx="3">
                  <c:v>8.5</c:v>
                </c:pt>
                <c:pt idx="4">
                  <c:v>2.5</c:v>
                </c:pt>
                <c:pt idx="5">
                  <c:v>0</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263E-4F21-9BCB-2FB6C9B87DA2}"/>
            </c:ext>
          </c:extLst>
        </c:ser>
        <c:ser>
          <c:idx val="1"/>
          <c:order val="1"/>
          <c:tx>
            <c:strRef>
              <c:f>burdonchart!$C$152:$H$152</c:f>
              <c:strCache>
                <c:ptCount val="6"/>
                <c:pt idx="0">
                  <c:v>18.5</c:v>
                </c:pt>
                <c:pt idx="1">
                  <c:v>14.8</c:v>
                </c:pt>
                <c:pt idx="2">
                  <c:v>11.1</c:v>
                </c:pt>
                <c:pt idx="3">
                  <c:v>7.4</c:v>
                </c:pt>
                <c:pt idx="4">
                  <c:v>3.7</c:v>
                </c:pt>
                <c:pt idx="5">
                  <c:v>0</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263E-4F21-9BCB-2FB6C9B87DA2}"/>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tx>
            <c:strRef>
              <c:f>burdonchart!$C$225:$H$225</c:f>
              <c:strCache>
                <c:ptCount val="6"/>
                <c:pt idx="0">
                  <c:v>153</c:v>
                </c:pt>
                <c:pt idx="1">
                  <c:v>153</c:v>
                </c:pt>
                <c:pt idx="2">
                  <c:v>153</c:v>
                </c:pt>
                <c:pt idx="3">
                  <c:v>153</c:v>
                </c:pt>
                <c:pt idx="4">
                  <c:v>153</c:v>
                </c:pt>
                <c:pt idx="5">
                  <c:v>153</c:v>
                </c:pt>
              </c:strCache>
            </c:strRef>
          </c:tx>
          <c:spPr>
            <a:ln w="28575" cmpd="sng">
              <a:solidFill>
                <a:schemeClr val="accent1"/>
              </a:solidFill>
            </a:ln>
          </c:spPr>
          <c:marker>
            <c:symbol val="none"/>
          </c:marker>
          <c:val>
            <c:numRef>
              <c:f>burdonchart!$B$19:$H$19</c:f>
              <c:numCache>
                <c:formatCode>General</c:formatCode>
                <c:ptCount val="7"/>
                <c:pt idx="0">
                  <c:v>0</c:v>
                </c:pt>
                <c:pt idx="1">
                  <c:v>35</c:v>
                </c:pt>
                <c:pt idx="2">
                  <c:v>24.5</c:v>
                </c:pt>
                <c:pt idx="3">
                  <c:v>15</c:v>
                </c:pt>
                <c:pt idx="4">
                  <c:v>6.5</c:v>
                </c:pt>
                <c:pt idx="5">
                  <c:v>3</c:v>
                </c:pt>
                <c:pt idx="6">
                  <c:v>0</c:v>
                </c:pt>
              </c:numCache>
            </c:numRef>
          </c:val>
          <c:smooth val="0"/>
          <c:extLst>
            <c:ext xmlns:c16="http://schemas.microsoft.com/office/drawing/2014/chart" uri="{C3380CC4-5D6E-409C-BE32-E72D297353CC}">
              <c16:uniqueId val="{00000000-DCD8-4942-A293-15C017E76C30}"/>
            </c:ext>
          </c:extLst>
        </c:ser>
        <c:ser>
          <c:idx val="1"/>
          <c:order val="1"/>
          <c:tx>
            <c:strRef>
              <c:f>burdonchart!$C$226:$H$226</c:f>
              <c:strCache>
                <c:ptCount val="6"/>
                <c:pt idx="0">
                  <c:v>153</c:v>
                </c:pt>
                <c:pt idx="1">
                  <c:v>153</c:v>
                </c:pt>
                <c:pt idx="2">
                  <c:v>153</c:v>
                </c:pt>
                <c:pt idx="3">
                  <c:v>153</c:v>
                </c:pt>
                <c:pt idx="4">
                  <c:v>153</c:v>
                </c:pt>
                <c:pt idx="5">
                  <c:v>153</c:v>
                </c:pt>
              </c:strCache>
            </c:strRef>
          </c:tx>
          <c:spPr>
            <a:ln w="28575" cmpd="sng">
              <a:solidFill>
                <a:schemeClr val="accent2"/>
              </a:solidFill>
            </a:ln>
          </c:spPr>
          <c:marker>
            <c:symbol val="none"/>
          </c:marker>
          <c:val>
            <c:numRef>
              <c:f>burdonchart!$B$20:$H$20</c:f>
              <c:numCache>
                <c:formatCode>General</c:formatCode>
                <c:ptCount val="7"/>
                <c:pt idx="0">
                  <c:v>0</c:v>
                </c:pt>
                <c:pt idx="1">
                  <c:v>35</c:v>
                </c:pt>
                <c:pt idx="2">
                  <c:v>28</c:v>
                </c:pt>
                <c:pt idx="3">
                  <c:v>21</c:v>
                </c:pt>
                <c:pt idx="4">
                  <c:v>14</c:v>
                </c:pt>
                <c:pt idx="5">
                  <c:v>7</c:v>
                </c:pt>
                <c:pt idx="6">
                  <c:v>0</c:v>
                </c:pt>
              </c:numCache>
            </c:numRef>
          </c:val>
          <c:smooth val="0"/>
          <c:extLst>
            <c:ext xmlns:c16="http://schemas.microsoft.com/office/drawing/2014/chart" uri="{C3380CC4-5D6E-409C-BE32-E72D297353CC}">
              <c16:uniqueId val="{00000001-DCD8-4942-A293-15C017E76C30}"/>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419"/>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419"/>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419"/>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459105</xdr:colOff>
      <xdr:row>1</xdr:row>
      <xdr:rowOff>173355</xdr:rowOff>
    </xdr:from>
    <xdr:ext cx="5715000" cy="3533775"/>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426720</xdr:colOff>
      <xdr:row>45</xdr:row>
      <xdr:rowOff>38100</xdr:rowOff>
    </xdr:from>
    <xdr:ext cx="5715000" cy="3533775"/>
    <xdr:graphicFrame macro="">
      <xdr:nvGraphicFramePr>
        <xdr:cNvPr id="3" name="Chart 1" title="Gráfico">
          <a:extLst>
            <a:ext uri="{FF2B5EF4-FFF2-40B4-BE49-F238E27FC236}">
              <a16:creationId xmlns:a16="http://schemas.microsoft.com/office/drawing/2014/main" id="{15DD990D-6B3F-453B-AE96-6369FC2F1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548640</xdr:colOff>
      <xdr:row>82</xdr:row>
      <xdr:rowOff>175260</xdr:rowOff>
    </xdr:from>
    <xdr:ext cx="5715000" cy="3533775"/>
    <xdr:graphicFrame macro="">
      <xdr:nvGraphicFramePr>
        <xdr:cNvPr id="4" name="Chart 1" title="Gráfico">
          <a:extLst>
            <a:ext uri="{FF2B5EF4-FFF2-40B4-BE49-F238E27FC236}">
              <a16:creationId xmlns:a16="http://schemas.microsoft.com/office/drawing/2014/main" id="{7D0C92AC-6656-4122-9F9F-77D718C7D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320040</xdr:colOff>
      <xdr:row>113</xdr:row>
      <xdr:rowOff>144780</xdr:rowOff>
    </xdr:from>
    <xdr:ext cx="5715000" cy="3533775"/>
    <xdr:graphicFrame macro="">
      <xdr:nvGraphicFramePr>
        <xdr:cNvPr id="5" name="Chart 1" title="Gráfico">
          <a:extLst>
            <a:ext uri="{FF2B5EF4-FFF2-40B4-BE49-F238E27FC236}">
              <a16:creationId xmlns:a16="http://schemas.microsoft.com/office/drawing/2014/main" id="{BE6E28C8-80A5-4C27-BF8F-826E6BD9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9</xdr:col>
      <xdr:colOff>350520</xdr:colOff>
      <xdr:row>139</xdr:row>
      <xdr:rowOff>190500</xdr:rowOff>
    </xdr:from>
    <xdr:ext cx="5715000" cy="3533775"/>
    <xdr:graphicFrame macro="">
      <xdr:nvGraphicFramePr>
        <xdr:cNvPr id="6" name="Chart 1" title="Gráfico">
          <a:extLst>
            <a:ext uri="{FF2B5EF4-FFF2-40B4-BE49-F238E27FC236}">
              <a16:creationId xmlns:a16="http://schemas.microsoft.com/office/drawing/2014/main" id="{5E522D77-CAC2-4E73-AC6A-D8B7E53EC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9</xdr:col>
      <xdr:colOff>350520</xdr:colOff>
      <xdr:row>165</xdr:row>
      <xdr:rowOff>190500</xdr:rowOff>
    </xdr:from>
    <xdr:ext cx="5715000" cy="3533775"/>
    <xdr:graphicFrame macro="">
      <xdr:nvGraphicFramePr>
        <xdr:cNvPr id="2" name="Chart 1" title="Gráfico">
          <a:extLst>
            <a:ext uri="{FF2B5EF4-FFF2-40B4-BE49-F238E27FC236}">
              <a16:creationId xmlns:a16="http://schemas.microsoft.com/office/drawing/2014/main" id="{479C5AE0-9739-4CEF-BC5D-40CCD6596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I4:I15" headerRowCount="0" totalsRowCount="1">
  <tableColumns count="1">
    <tableColumn id="1" xr3:uid="{00000000-0010-0000-0000-000001000000}" name="Column1"/>
  </tableColumns>
  <tableStyleInfo name="burdonchart-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7E44A-9154-48F8-B65A-1774B7613B99}">
  <dimension ref="A1:N23"/>
  <sheetViews>
    <sheetView topLeftCell="A17" zoomScale="70" zoomScaleNormal="70" workbookViewId="0">
      <selection activeCell="C11" sqref="C11"/>
    </sheetView>
  </sheetViews>
  <sheetFormatPr baseColWidth="10" defaultColWidth="9.140625" defaultRowHeight="12.75" x14ac:dyDescent="0.2"/>
  <cols>
    <col min="2" max="14" width="24.7109375" customWidth="1"/>
  </cols>
  <sheetData>
    <row r="1" spans="1:14" ht="49.5" x14ac:dyDescent="0.2">
      <c r="A1" s="13" t="s">
        <v>30</v>
      </c>
      <c r="B1" s="13" t="s">
        <v>31</v>
      </c>
      <c r="C1" s="13" t="s">
        <v>32</v>
      </c>
      <c r="D1" s="13" t="s">
        <v>33</v>
      </c>
      <c r="E1" s="13" t="s">
        <v>34</v>
      </c>
      <c r="F1" s="13" t="s">
        <v>35</v>
      </c>
      <c r="G1" s="13" t="s">
        <v>36</v>
      </c>
      <c r="H1" s="13" t="s">
        <v>37</v>
      </c>
      <c r="I1" s="13" t="s">
        <v>38</v>
      </c>
      <c r="J1" s="13" t="s">
        <v>39</v>
      </c>
      <c r="K1" s="13" t="s">
        <v>40</v>
      </c>
      <c r="L1" s="13" t="s">
        <v>41</v>
      </c>
      <c r="M1" s="13" t="s">
        <v>42</v>
      </c>
      <c r="N1" s="13" t="s">
        <v>43</v>
      </c>
    </row>
    <row r="2" spans="1:14" ht="63.75" x14ac:dyDescent="0.2">
      <c r="A2" s="14" t="s">
        <v>7</v>
      </c>
      <c r="B2" s="15" t="s">
        <v>44</v>
      </c>
      <c r="C2" s="15" t="s">
        <v>45</v>
      </c>
      <c r="D2" s="15" t="s">
        <v>165</v>
      </c>
      <c r="E2" s="15" t="s">
        <v>46</v>
      </c>
      <c r="F2" s="15" t="s">
        <v>47</v>
      </c>
      <c r="G2" s="15" t="s">
        <v>48</v>
      </c>
      <c r="H2" s="15">
        <v>4</v>
      </c>
      <c r="I2" s="16">
        <v>46056</v>
      </c>
      <c r="J2" s="17" t="s">
        <v>8</v>
      </c>
      <c r="K2" s="15" t="s">
        <v>49</v>
      </c>
      <c r="L2" s="18" t="s">
        <v>50</v>
      </c>
      <c r="M2" s="15" t="s">
        <v>51</v>
      </c>
      <c r="N2" s="15" t="s">
        <v>52</v>
      </c>
    </row>
    <row r="3" spans="1:14" ht="58.9" customHeight="1" x14ac:dyDescent="0.2">
      <c r="A3" s="14" t="s">
        <v>10</v>
      </c>
      <c r="B3" s="19" t="s">
        <v>53</v>
      </c>
      <c r="C3" s="19" t="s">
        <v>54</v>
      </c>
      <c r="D3" s="19" t="s">
        <v>166</v>
      </c>
      <c r="E3" s="19" t="s">
        <v>46</v>
      </c>
      <c r="F3" s="19" t="s">
        <v>55</v>
      </c>
      <c r="G3" s="19" t="s">
        <v>56</v>
      </c>
      <c r="H3" s="15">
        <v>2</v>
      </c>
      <c r="I3" s="20">
        <v>46056</v>
      </c>
      <c r="J3" s="17" t="s">
        <v>8</v>
      </c>
      <c r="K3" s="15" t="s">
        <v>49</v>
      </c>
      <c r="L3" s="19" t="s">
        <v>57</v>
      </c>
      <c r="M3" s="19" t="s">
        <v>58</v>
      </c>
      <c r="N3" s="19" t="s">
        <v>59</v>
      </c>
    </row>
    <row r="4" spans="1:14" ht="58.9" customHeight="1" x14ac:dyDescent="0.2">
      <c r="A4" s="14" t="s">
        <v>11</v>
      </c>
      <c r="B4" s="21" t="s">
        <v>60</v>
      </c>
      <c r="C4" s="21" t="s">
        <v>61</v>
      </c>
      <c r="D4" s="21" t="s">
        <v>167</v>
      </c>
      <c r="E4" s="21" t="s">
        <v>46</v>
      </c>
      <c r="F4" s="22" t="s">
        <v>62</v>
      </c>
      <c r="G4" s="23" t="s">
        <v>63</v>
      </c>
      <c r="H4" s="15">
        <v>3</v>
      </c>
      <c r="I4" s="24">
        <v>46056</v>
      </c>
      <c r="J4" s="17" t="s">
        <v>8</v>
      </c>
      <c r="K4" s="15" t="s">
        <v>49</v>
      </c>
      <c r="L4" s="21" t="s">
        <v>64</v>
      </c>
      <c r="M4" s="21" t="s">
        <v>65</v>
      </c>
      <c r="N4" s="21" t="s">
        <v>66</v>
      </c>
    </row>
    <row r="5" spans="1:14" ht="58.9" customHeight="1" x14ac:dyDescent="0.2">
      <c r="A5" s="14" t="s">
        <v>12</v>
      </c>
      <c r="B5" s="23" t="s">
        <v>67</v>
      </c>
      <c r="C5" s="25" t="s">
        <v>68</v>
      </c>
      <c r="D5" s="23" t="s">
        <v>168</v>
      </c>
      <c r="E5" s="23" t="s">
        <v>46</v>
      </c>
      <c r="F5" s="25" t="s">
        <v>69</v>
      </c>
      <c r="G5" s="23" t="s">
        <v>63</v>
      </c>
      <c r="H5" s="15">
        <v>2</v>
      </c>
      <c r="I5" s="26">
        <v>46056</v>
      </c>
      <c r="J5" s="17" t="s">
        <v>8</v>
      </c>
      <c r="K5" s="15" t="s">
        <v>49</v>
      </c>
      <c r="L5" s="23" t="s">
        <v>70</v>
      </c>
      <c r="M5" s="23" t="s">
        <v>71</v>
      </c>
      <c r="N5" s="23" t="s">
        <v>72</v>
      </c>
    </row>
    <row r="6" spans="1:14" ht="58.9" customHeight="1" x14ac:dyDescent="0.3">
      <c r="A6" s="14" t="s">
        <v>14</v>
      </c>
      <c r="B6" s="23" t="s">
        <v>100</v>
      </c>
      <c r="C6" s="23" t="s">
        <v>101</v>
      </c>
      <c r="D6" s="23" t="s">
        <v>169</v>
      </c>
      <c r="E6" s="23" t="s">
        <v>46</v>
      </c>
      <c r="F6" s="25" t="s">
        <v>102</v>
      </c>
      <c r="G6" s="15" t="s">
        <v>48</v>
      </c>
      <c r="H6" s="15">
        <v>3</v>
      </c>
      <c r="I6" s="26">
        <v>46056</v>
      </c>
      <c r="J6" s="17" t="s">
        <v>8</v>
      </c>
      <c r="K6" s="15" t="s">
        <v>49</v>
      </c>
      <c r="L6" s="23" t="s">
        <v>103</v>
      </c>
      <c r="M6" s="29" t="s">
        <v>104</v>
      </c>
      <c r="N6" s="23" t="s">
        <v>105</v>
      </c>
    </row>
    <row r="7" spans="1:14" ht="58.9" customHeight="1" x14ac:dyDescent="0.3">
      <c r="A7" s="14" t="s">
        <v>79</v>
      </c>
      <c r="B7" s="23" t="s">
        <v>114</v>
      </c>
      <c r="C7" s="23" t="s">
        <v>115</v>
      </c>
      <c r="D7" s="23" t="s">
        <v>170</v>
      </c>
      <c r="E7" s="23" t="s">
        <v>46</v>
      </c>
      <c r="F7" s="25" t="s">
        <v>116</v>
      </c>
      <c r="G7" s="19" t="s">
        <v>117</v>
      </c>
      <c r="H7" s="15">
        <v>2</v>
      </c>
      <c r="I7" s="26">
        <v>46056</v>
      </c>
      <c r="J7" s="17" t="s">
        <v>8</v>
      </c>
      <c r="K7" s="15" t="s">
        <v>49</v>
      </c>
      <c r="L7" s="23" t="s">
        <v>118</v>
      </c>
      <c r="M7" s="29" t="s">
        <v>119</v>
      </c>
      <c r="N7" s="23" t="s">
        <v>120</v>
      </c>
    </row>
    <row r="8" spans="1:14" ht="58.9" customHeight="1" x14ac:dyDescent="0.3">
      <c r="A8" s="14" t="s">
        <v>86</v>
      </c>
      <c r="B8" s="23" t="s">
        <v>122</v>
      </c>
      <c r="C8" s="23" t="s">
        <v>123</v>
      </c>
      <c r="D8" s="23" t="s">
        <v>171</v>
      </c>
      <c r="E8" s="23" t="s">
        <v>46</v>
      </c>
      <c r="F8" s="25" t="s">
        <v>124</v>
      </c>
      <c r="G8" s="19" t="s">
        <v>63</v>
      </c>
      <c r="H8" s="15">
        <v>2</v>
      </c>
      <c r="I8" s="26">
        <v>46056</v>
      </c>
      <c r="J8" s="17" t="s">
        <v>8</v>
      </c>
      <c r="K8" s="15" t="s">
        <v>49</v>
      </c>
      <c r="L8" s="23" t="s">
        <v>125</v>
      </c>
      <c r="M8" s="29" t="s">
        <v>126</v>
      </c>
      <c r="N8" s="23" t="s">
        <v>127</v>
      </c>
    </row>
    <row r="9" spans="1:14" ht="58.9" customHeight="1" x14ac:dyDescent="0.2">
      <c r="A9" s="14" t="s">
        <v>92</v>
      </c>
      <c r="B9" s="23" t="s">
        <v>87</v>
      </c>
      <c r="C9" s="25" t="s">
        <v>88</v>
      </c>
      <c r="D9" s="23" t="s">
        <v>172</v>
      </c>
      <c r="E9" s="23" t="s">
        <v>46</v>
      </c>
      <c r="F9" s="25" t="s">
        <v>89</v>
      </c>
      <c r="G9" s="23" t="s">
        <v>56</v>
      </c>
      <c r="H9" s="15">
        <v>1</v>
      </c>
      <c r="I9" s="26">
        <v>46056</v>
      </c>
      <c r="J9" s="17" t="s">
        <v>163</v>
      </c>
      <c r="K9" s="15" t="s">
        <v>49</v>
      </c>
      <c r="L9" s="23" t="s">
        <v>90</v>
      </c>
      <c r="M9" s="23" t="s">
        <v>84</v>
      </c>
      <c r="N9" s="23" t="s">
        <v>91</v>
      </c>
    </row>
    <row r="10" spans="1:14" ht="58.9" customHeight="1" x14ac:dyDescent="0.2">
      <c r="A10" s="14" t="s">
        <v>99</v>
      </c>
      <c r="B10" s="23" t="s">
        <v>73</v>
      </c>
      <c r="C10" s="23" t="s">
        <v>74</v>
      </c>
      <c r="D10" s="23" t="s">
        <v>173</v>
      </c>
      <c r="E10" s="23" t="s">
        <v>46</v>
      </c>
      <c r="F10" s="23" t="s">
        <v>75</v>
      </c>
      <c r="G10" s="19" t="s">
        <v>48</v>
      </c>
      <c r="H10" s="15">
        <v>3</v>
      </c>
      <c r="I10" s="26">
        <v>46056</v>
      </c>
      <c r="J10" s="17" t="s">
        <v>164</v>
      </c>
      <c r="K10" s="15" t="s">
        <v>49</v>
      </c>
      <c r="L10" s="27" t="s">
        <v>76</v>
      </c>
      <c r="M10" s="23" t="s">
        <v>77</v>
      </c>
      <c r="N10" s="23" t="s">
        <v>78</v>
      </c>
    </row>
    <row r="11" spans="1:14" ht="58.9" customHeight="1" x14ac:dyDescent="0.2">
      <c r="A11" s="14" t="s">
        <v>106</v>
      </c>
      <c r="B11" s="23" t="s">
        <v>80</v>
      </c>
      <c r="C11" s="28" t="s">
        <v>81</v>
      </c>
      <c r="D11" s="23" t="s">
        <v>174</v>
      </c>
      <c r="E11" s="23" t="s">
        <v>46</v>
      </c>
      <c r="F11" s="25" t="s">
        <v>82</v>
      </c>
      <c r="G11" s="15" t="s">
        <v>56</v>
      </c>
      <c r="H11" s="15">
        <v>2</v>
      </c>
      <c r="I11" s="26">
        <v>46056</v>
      </c>
      <c r="J11" s="17" t="s">
        <v>164</v>
      </c>
      <c r="K11" s="15" t="s">
        <v>49</v>
      </c>
      <c r="L11" s="23" t="s">
        <v>83</v>
      </c>
      <c r="M11" s="23" t="s">
        <v>84</v>
      </c>
      <c r="N11" s="23" t="s">
        <v>85</v>
      </c>
    </row>
    <row r="12" spans="1:14" ht="58.9" customHeight="1" x14ac:dyDescent="0.3">
      <c r="A12" s="14" t="s">
        <v>113</v>
      </c>
      <c r="B12" s="23" t="s">
        <v>93</v>
      </c>
      <c r="C12" s="25" t="s">
        <v>94</v>
      </c>
      <c r="D12" s="23" t="s">
        <v>175</v>
      </c>
      <c r="E12" s="23" t="s">
        <v>46</v>
      </c>
      <c r="F12" s="25" t="s">
        <v>95</v>
      </c>
      <c r="G12" s="23" t="s">
        <v>56</v>
      </c>
      <c r="H12" s="15">
        <v>1</v>
      </c>
      <c r="I12" s="26">
        <v>46056</v>
      </c>
      <c r="J12" s="17" t="s">
        <v>164</v>
      </c>
      <c r="K12" s="15" t="s">
        <v>49</v>
      </c>
      <c r="L12" s="23" t="s">
        <v>96</v>
      </c>
      <c r="M12" s="29" t="s">
        <v>97</v>
      </c>
      <c r="N12" s="23" t="s">
        <v>98</v>
      </c>
    </row>
    <row r="13" spans="1:14" ht="58.9" customHeight="1" x14ac:dyDescent="0.3">
      <c r="A13" s="14" t="s">
        <v>121</v>
      </c>
      <c r="B13" s="23" t="s">
        <v>107</v>
      </c>
      <c r="C13" s="23" t="s">
        <v>108</v>
      </c>
      <c r="D13" s="23" t="s">
        <v>176</v>
      </c>
      <c r="E13" s="23" t="s">
        <v>46</v>
      </c>
      <c r="F13" s="25" t="s">
        <v>109</v>
      </c>
      <c r="G13" s="23" t="s">
        <v>63</v>
      </c>
      <c r="H13" s="15">
        <v>3</v>
      </c>
      <c r="I13" s="26">
        <v>46056</v>
      </c>
      <c r="J13" s="17" t="s">
        <v>164</v>
      </c>
      <c r="K13" s="15" t="s">
        <v>49</v>
      </c>
      <c r="L13" s="23" t="s">
        <v>110</v>
      </c>
      <c r="M13" s="29" t="s">
        <v>111</v>
      </c>
      <c r="N13" s="23" t="s">
        <v>112</v>
      </c>
    </row>
    <row r="14" spans="1:14" ht="58.9" customHeight="1" x14ac:dyDescent="0.3">
      <c r="A14" s="14" t="s">
        <v>128</v>
      </c>
      <c r="B14" s="23" t="s">
        <v>129</v>
      </c>
      <c r="C14" s="23" t="s">
        <v>130</v>
      </c>
      <c r="D14" s="23" t="s">
        <v>177</v>
      </c>
      <c r="E14" s="23" t="s">
        <v>46</v>
      </c>
      <c r="F14" s="25" t="s">
        <v>131</v>
      </c>
      <c r="G14" s="23" t="s">
        <v>48</v>
      </c>
      <c r="H14" s="15">
        <v>5</v>
      </c>
      <c r="I14" s="26">
        <v>46056</v>
      </c>
      <c r="J14" s="17" t="s">
        <v>164</v>
      </c>
      <c r="K14" s="15" t="s">
        <v>49</v>
      </c>
      <c r="L14" s="23" t="s">
        <v>132</v>
      </c>
      <c r="M14" s="29" t="s">
        <v>133</v>
      </c>
      <c r="N14" s="23" t="s">
        <v>134</v>
      </c>
    </row>
    <row r="15" spans="1:14" ht="58.9" customHeight="1" x14ac:dyDescent="0.3">
      <c r="A15" s="14" t="s">
        <v>135</v>
      </c>
      <c r="B15" s="23" t="s">
        <v>136</v>
      </c>
      <c r="C15" s="23" t="s">
        <v>137</v>
      </c>
      <c r="D15" s="23" t="s">
        <v>178</v>
      </c>
      <c r="E15" s="23" t="s">
        <v>46</v>
      </c>
      <c r="F15" s="25" t="s">
        <v>138</v>
      </c>
      <c r="G15" s="15" t="s">
        <v>48</v>
      </c>
      <c r="H15" s="15">
        <v>6</v>
      </c>
      <c r="I15" s="26">
        <v>46056</v>
      </c>
      <c r="J15" s="17" t="s">
        <v>164</v>
      </c>
      <c r="K15" s="15" t="s">
        <v>49</v>
      </c>
      <c r="L15" s="23" t="s">
        <v>139</v>
      </c>
      <c r="M15" s="29" t="s">
        <v>140</v>
      </c>
      <c r="N15" s="23" t="s">
        <v>141</v>
      </c>
    </row>
    <row r="16" spans="1:14" ht="58.9" customHeight="1" x14ac:dyDescent="0.3">
      <c r="A16" s="14" t="s">
        <v>142</v>
      </c>
      <c r="B16" s="30" t="s">
        <v>143</v>
      </c>
      <c r="C16" s="30" t="s">
        <v>144</v>
      </c>
      <c r="D16" s="30" t="s">
        <v>179</v>
      </c>
      <c r="E16" s="23" t="s">
        <v>46</v>
      </c>
      <c r="F16" s="30" t="s">
        <v>145</v>
      </c>
      <c r="G16" s="15" t="s">
        <v>117</v>
      </c>
      <c r="H16" s="15">
        <v>5</v>
      </c>
      <c r="I16" s="26">
        <v>46056</v>
      </c>
      <c r="J16" s="17" t="s">
        <v>164</v>
      </c>
      <c r="K16" s="15" t="s">
        <v>49</v>
      </c>
      <c r="L16" s="31" t="s">
        <v>146</v>
      </c>
      <c r="M16" s="30" t="s">
        <v>147</v>
      </c>
      <c r="N16" s="32" t="s">
        <v>148</v>
      </c>
    </row>
    <row r="17" spans="1:14" ht="58.9" customHeight="1" x14ac:dyDescent="0.3">
      <c r="A17" s="14" t="s">
        <v>149</v>
      </c>
      <c r="B17" s="34" t="s">
        <v>150</v>
      </c>
      <c r="C17" s="34" t="s">
        <v>151</v>
      </c>
      <c r="D17" s="34" t="s">
        <v>180</v>
      </c>
      <c r="E17" s="15" t="s">
        <v>46</v>
      </c>
      <c r="F17" s="34" t="s">
        <v>152</v>
      </c>
      <c r="G17" s="15" t="s">
        <v>117</v>
      </c>
      <c r="H17" s="15">
        <v>3</v>
      </c>
      <c r="I17" s="16">
        <v>46056</v>
      </c>
      <c r="J17" s="17" t="s">
        <v>164</v>
      </c>
      <c r="K17" s="15" t="s">
        <v>49</v>
      </c>
      <c r="L17" s="34" t="s">
        <v>153</v>
      </c>
      <c r="M17" s="34" t="s">
        <v>154</v>
      </c>
      <c r="N17" s="35" t="s">
        <v>155</v>
      </c>
    </row>
    <row r="18" spans="1:14" ht="58.9" customHeight="1" x14ac:dyDescent="0.3">
      <c r="A18" s="14" t="s">
        <v>156</v>
      </c>
      <c r="B18" s="36" t="s">
        <v>157</v>
      </c>
      <c r="C18" s="36" t="s">
        <v>158</v>
      </c>
      <c r="D18" s="36" t="s">
        <v>181</v>
      </c>
      <c r="E18" s="19" t="s">
        <v>46</v>
      </c>
      <c r="F18" s="36" t="s">
        <v>159</v>
      </c>
      <c r="G18" s="19" t="s">
        <v>117</v>
      </c>
      <c r="H18" s="19">
        <v>2</v>
      </c>
      <c r="I18" s="37">
        <v>46056</v>
      </c>
      <c r="J18" s="38" t="s">
        <v>164</v>
      </c>
      <c r="K18" s="19" t="s">
        <v>49</v>
      </c>
      <c r="L18" s="36" t="s">
        <v>160</v>
      </c>
      <c r="M18" s="36" t="s">
        <v>161</v>
      </c>
      <c r="N18" s="39" t="s">
        <v>162</v>
      </c>
    </row>
    <row r="19" spans="1:14" ht="16.5" x14ac:dyDescent="0.3">
      <c r="A19" s="33"/>
      <c r="B19" s="30"/>
      <c r="C19" s="30"/>
      <c r="D19" s="30"/>
      <c r="E19" s="30"/>
      <c r="F19" s="30"/>
      <c r="G19" s="23"/>
      <c r="H19" s="23"/>
      <c r="I19" s="26"/>
      <c r="J19" s="23"/>
      <c r="K19" s="23"/>
      <c r="L19" s="30"/>
      <c r="M19" s="30"/>
      <c r="N19" s="32"/>
    </row>
    <row r="20" spans="1:14" x14ac:dyDescent="0.2">
      <c r="A20" s="33"/>
      <c r="B20" s="23"/>
      <c r="C20" s="23"/>
      <c r="D20" s="23"/>
      <c r="E20" s="23"/>
      <c r="F20" s="23"/>
      <c r="G20" s="23"/>
      <c r="H20" s="23"/>
      <c r="I20" s="26"/>
      <c r="J20" s="23"/>
      <c r="K20" s="23"/>
      <c r="L20" s="27"/>
      <c r="M20" s="23"/>
      <c r="N20" s="23"/>
    </row>
    <row r="21" spans="1:14" x14ac:dyDescent="0.2">
      <c r="A21" s="33"/>
      <c r="B21" s="23"/>
      <c r="C21" s="23"/>
      <c r="D21" s="23"/>
      <c r="E21" s="23"/>
      <c r="F21" s="23"/>
      <c r="G21" s="23"/>
      <c r="H21" s="23"/>
      <c r="I21" s="26"/>
      <c r="J21" s="23"/>
      <c r="K21" s="23"/>
      <c r="L21" s="27"/>
      <c r="M21" s="23"/>
      <c r="N21" s="23"/>
    </row>
    <row r="22" spans="1:14" x14ac:dyDescent="0.2">
      <c r="A22" s="33"/>
      <c r="B22" s="23"/>
      <c r="C22" s="23"/>
      <c r="D22" s="23"/>
      <c r="E22" s="23"/>
      <c r="F22" s="25"/>
      <c r="G22" s="23"/>
      <c r="H22" s="23"/>
      <c r="I22" s="26"/>
      <c r="J22" s="23"/>
      <c r="K22" s="23"/>
      <c r="L22" s="27"/>
      <c r="M22" s="23"/>
      <c r="N22" s="23"/>
    </row>
    <row r="23" spans="1:14" x14ac:dyDescent="0.2">
      <c r="A23" s="33"/>
      <c r="B23" s="23"/>
      <c r="C23" s="25"/>
      <c r="D23" s="23"/>
      <c r="E23" s="23"/>
      <c r="F23" s="25"/>
      <c r="G23" s="23"/>
      <c r="H23" s="23"/>
      <c r="I23" s="26"/>
      <c r="J23" s="23"/>
      <c r="K23" s="23"/>
      <c r="L23" s="27"/>
      <c r="M23" s="23"/>
      <c r="N23" s="23"/>
    </row>
  </sheetData>
  <conditionalFormatting sqref="K2:K18">
    <cfRule type="colorScale" priority="1">
      <colorScale>
        <cfvo type="min"/>
        <cfvo type="max"/>
        <color rgb="FF57BB8A"/>
        <color rgb="FFFFFFFF"/>
      </colorScale>
    </cfRule>
  </conditionalFormatting>
  <conditionalFormatting sqref="K19:K23">
    <cfRule type="colorScale" priority="2">
      <colorScale>
        <cfvo type="min"/>
        <cfvo type="max"/>
        <color rgb="FF57BB8A"/>
        <color rgb="FFFFFFFF"/>
      </colorScale>
    </cfRule>
  </conditionalFormatting>
  <dataValidations disablePrompts="1" count="4">
    <dataValidation type="list" allowBlank="1" showErrorMessage="1" sqref="J19:J23" xr:uid="{7F8C9198-9799-4729-8008-35261DE98BCF}">
      <formula1>$K$33:$K$35</formula1>
    </dataValidation>
    <dataValidation type="list" allowBlank="1" showErrorMessage="1" sqref="K19:K23" xr:uid="{AC7736E9-F955-4246-A960-2D8A2D2D53FE}">
      <formula1>$L$33:$L$36</formula1>
    </dataValidation>
    <dataValidation type="list" allowBlank="1" showErrorMessage="1" sqref="J2:J18" xr:uid="{55083F96-5102-4347-9F50-3968B82493B1}">
      <formula1>$K$34:$K$36</formula1>
    </dataValidation>
    <dataValidation type="list" allowBlank="1" showErrorMessage="1" sqref="K2:K18" xr:uid="{46D90E2D-A9A5-4C66-AC3E-9ADA7465CA67}">
      <formula1>$L$34:$L$37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A3" zoomScale="85" zoomScaleNormal="85" workbookViewId="0">
      <selection activeCell="J2" sqref="J2"/>
    </sheetView>
  </sheetViews>
  <sheetFormatPr baseColWidth="10" defaultColWidth="12.7109375" defaultRowHeight="15" customHeight="1" x14ac:dyDescent="0.2"/>
  <cols>
    <col min="1" max="1" width="12.42578125" customWidth="1"/>
    <col min="2" max="2" width="30.28515625" customWidth="1"/>
    <col min="3" max="3" width="36" customWidth="1"/>
    <col min="4" max="4" width="41.42578125" customWidth="1"/>
    <col min="5" max="5" width="54.42578125" customWidth="1"/>
    <col min="6" max="26" width="12.42578125" customWidth="1"/>
  </cols>
  <sheetData>
    <row r="1" spans="1:26" ht="15.75" customHeight="1" x14ac:dyDescent="0.25">
      <c r="A1" s="1" t="s">
        <v>15</v>
      </c>
      <c r="B1" s="1" t="s">
        <v>0</v>
      </c>
      <c r="C1" s="1" t="s">
        <v>1</v>
      </c>
      <c r="D1" s="1" t="s">
        <v>2</v>
      </c>
      <c r="E1" s="1" t="s">
        <v>3</v>
      </c>
      <c r="F1" s="1" t="s">
        <v>4</v>
      </c>
      <c r="G1" s="1" t="s">
        <v>5</v>
      </c>
      <c r="H1" s="1" t="s">
        <v>6</v>
      </c>
      <c r="I1" s="2"/>
      <c r="J1" s="2"/>
      <c r="K1" s="2"/>
      <c r="L1" s="2"/>
      <c r="M1" s="2"/>
      <c r="N1" s="2"/>
      <c r="O1" s="2"/>
      <c r="P1" s="2"/>
      <c r="Q1" s="2"/>
      <c r="R1" s="2"/>
      <c r="S1" s="2"/>
      <c r="T1" s="2"/>
      <c r="U1" s="2"/>
      <c r="V1" s="2"/>
      <c r="W1" s="2"/>
      <c r="X1" s="2"/>
      <c r="Y1" s="2"/>
      <c r="Z1" s="2"/>
    </row>
    <row r="2" spans="1:26" ht="63.75" x14ac:dyDescent="0.2">
      <c r="A2" s="3" t="s">
        <v>7</v>
      </c>
      <c r="B2" s="40" t="s">
        <v>66</v>
      </c>
      <c r="C2" s="40" t="s">
        <v>46</v>
      </c>
      <c r="D2" s="40" t="s">
        <v>62</v>
      </c>
      <c r="E2" s="40" t="s">
        <v>62</v>
      </c>
      <c r="F2" s="40" t="s">
        <v>65</v>
      </c>
      <c r="G2" s="40" t="s">
        <v>164</v>
      </c>
      <c r="H2" s="40" t="s">
        <v>9</v>
      </c>
      <c r="P2" s="4"/>
      <c r="Q2" s="4"/>
      <c r="R2" s="4"/>
      <c r="S2" s="4"/>
      <c r="T2" s="4"/>
      <c r="U2" s="4"/>
      <c r="V2" s="4"/>
      <c r="W2" s="4"/>
      <c r="X2" s="4"/>
      <c r="Y2" s="4"/>
      <c r="Z2" s="4"/>
    </row>
    <row r="3" spans="1:26" ht="76.5" x14ac:dyDescent="0.2">
      <c r="A3" s="3" t="s">
        <v>10</v>
      </c>
      <c r="B3" s="40" t="str">
        <f>VLOOKUP(Backlog!A3,Data!$A$2:$N$18,14)</f>
        <v>Actualizar Producto</v>
      </c>
      <c r="C3" s="40" t="str">
        <f>VLOOKUP(Backlog!$A3,Data!$A$2:$N$18,5)</f>
        <v>Propietario</v>
      </c>
      <c r="D3" s="40" t="str">
        <f>VLOOKUP(Backlog!$A3,Data!$A$2:$N$18,6)</f>
        <v>Seleccionar producto de lista, editar campos en formulario y guardar cambios validados</v>
      </c>
      <c r="E3" s="40" t="str">
        <f>VLOOKUP(Backlog!$A3,Data!$A$2:$N$18,6)</f>
        <v>Seleccionar producto de lista, editar campos en formulario y guardar cambios validados</v>
      </c>
      <c r="F3" s="40" t="str">
        <f>VLOOKUP(Backlog!$A3,Data!$A$2:$N$18,13)</f>
        <v>Permite incrementos y decrementos de stock con validaciones</v>
      </c>
      <c r="G3" s="40" t="s">
        <v>13</v>
      </c>
      <c r="H3" s="40" t="s">
        <v>9</v>
      </c>
    </row>
    <row r="4" spans="1:26" ht="51" x14ac:dyDescent="0.2">
      <c r="A4" s="3" t="s">
        <v>11</v>
      </c>
      <c r="B4" s="40" t="str">
        <f>VLOOKUP(Backlog!A2,Data!$A$2:$N$18,14)</f>
        <v>Registrar Producto</v>
      </c>
      <c r="C4" s="40" t="str">
        <f>VLOOKUP(Backlog!$A2,Data!$A$2:$N$18,5)</f>
        <v>Propietario</v>
      </c>
      <c r="D4" s="40" t="str">
        <f>VLOOKUP(Backlog!$A2,Data!$A$2:$N$18,6)</f>
        <v>Ingresar datos del producto en formulario, el sistema genera código automático y valida información antes de guardar</v>
      </c>
      <c r="E4" s="40" t="str">
        <f>VLOOKUP(Backlog!$A2,Data!$A$2:$N$18,6)</f>
        <v>Ingresar datos del producto en formulario, el sistema genera código automático y valida información antes de guardar</v>
      </c>
      <c r="F4" s="40" t="str">
        <f>VLOOKUP(Backlog!$A2,Data!$A$2:$N$18,13)</f>
        <v>Códigos de producto no se reutilizan al eliminar</v>
      </c>
      <c r="G4" s="40" t="s">
        <v>8</v>
      </c>
      <c r="H4" s="40" t="s">
        <v>9</v>
      </c>
    </row>
    <row r="5" spans="1:26" ht="51" x14ac:dyDescent="0.2">
      <c r="A5" s="3" t="s">
        <v>12</v>
      </c>
      <c r="B5" s="40" t="str">
        <f>VLOOKUP(Backlog!A5,Data!$A$2:$N$18,14)</f>
        <v>Eliminar Producto</v>
      </c>
      <c r="C5" s="40" t="str">
        <f>VLOOKUP(Backlog!$A5,Data!$A$2:$N$18,5)</f>
        <v>Propietario</v>
      </c>
      <c r="D5" s="40" t="str">
        <f>VLOOKUP(Backlog!$A5,Data!$A$2:$N$18,6)</f>
        <v>Seleccionar producto, confirmar eliminación, sistema actualiza estado a Inactivo</v>
      </c>
      <c r="E5" s="40" t="str">
        <f>VLOOKUP(Backlog!$A5,Data!$A$2:$N$18,6)</f>
        <v>Seleccionar producto, confirmar eliminación, sistema actualiza estado a Inactivo</v>
      </c>
      <c r="F5" s="40" t="str">
        <f>VLOOKUP(Backlog!$A5,Data!$A$2:$N$18,13)</f>
        <v>Código del producto no se libera para reutilización</v>
      </c>
      <c r="G5" s="40" t="s">
        <v>8</v>
      </c>
      <c r="H5" s="40" t="s">
        <v>9</v>
      </c>
    </row>
    <row r="6" spans="1:26" ht="63.75" x14ac:dyDescent="0.2">
      <c r="A6" s="3" t="s">
        <v>14</v>
      </c>
      <c r="B6" s="40" t="str">
        <f>VLOOKUP(Backlog!A6,Data!$A$2:$N$18,14)</f>
        <v>Registrar Pedido</v>
      </c>
      <c r="C6" s="40" t="str">
        <f>VLOOKUP(Backlog!$A6,Data!$A$2:$N$18,5)</f>
        <v>Propietario</v>
      </c>
      <c r="D6" s="40" t="str">
        <f>VLOOKUP(Backlog!$A6,Data!$A$2:$N$18,6)</f>
        <v>Seleccionar cliente y productos, especificar cantidades, sistema calcula totales y guarda pedido</v>
      </c>
      <c r="E6" s="40" t="str">
        <f>VLOOKUP(Backlog!$A6,Data!$A$2:$N$18,6)</f>
        <v>Seleccionar cliente y productos, especificar cantidades, sistema calcula totales y guarda pedido</v>
      </c>
      <c r="F6" s="40" t="str">
        <f>VLOOKUP(Backlog!$A6,Data!$A$2:$N$18,13)</f>
        <v>Fecha auto-completada con fecha actual pero editable</v>
      </c>
      <c r="G6" s="40" t="s">
        <v>13</v>
      </c>
      <c r="H6" s="40" t="s">
        <v>9</v>
      </c>
    </row>
    <row r="7" spans="1:26" ht="38.25" x14ac:dyDescent="0.2">
      <c r="A7" s="3" t="s">
        <v>79</v>
      </c>
      <c r="B7" s="40" t="str">
        <f>VLOOKUP(Backlog!A7,Data!$A$2:$N$18,14)</f>
        <v>Consultar Pedido</v>
      </c>
      <c r="C7" s="40" t="str">
        <f>VLOOKUP(Backlog!$A7,Data!$A$2:$N$18,5)</f>
        <v>Propietario</v>
      </c>
      <c r="D7" s="40" t="str">
        <f>VLOOKUP(Backlog!$A7,Data!$A$2:$N$18,6)</f>
        <v>Aplicar filtros (ID, cliente, fechas, estado), sistema muestra resultados</v>
      </c>
      <c r="E7" s="40" t="str">
        <f>VLOOKUP(Backlog!$A7,Data!$A$2:$N$18,6)</f>
        <v>Aplicar filtros (ID, cliente, fechas, estado), sistema muestra resultados</v>
      </c>
      <c r="F7" s="40" t="str">
        <f>VLOOKUP(Backlog!$A7,Data!$A$2:$N$18,13)</f>
        <v>Interfaz intuitiva para filtrado</v>
      </c>
      <c r="G7" s="40" t="s">
        <v>164</v>
      </c>
      <c r="H7" s="40" t="s">
        <v>9</v>
      </c>
    </row>
    <row r="8" spans="1:26" ht="51" x14ac:dyDescent="0.2">
      <c r="A8" s="3" t="s">
        <v>86</v>
      </c>
      <c r="B8" s="40" t="str">
        <f>VLOOKUP(Backlog!A8,Data!$A$2:$N$18,14)</f>
        <v>Eliminar Pedido</v>
      </c>
      <c r="C8" s="40" t="str">
        <f>VLOOKUP(Backlog!$A8,Data!$A$2:$N$18,5)</f>
        <v>Propietario</v>
      </c>
      <c r="D8" s="40" t="str">
        <f>VLOOKUP(Backlog!$A8,Data!$A$2:$N$18,6)</f>
        <v>Seleccionar pedido, confirmar eliminación, actualizar estado a Cancelado y revertir stock</v>
      </c>
      <c r="E8" s="40" t="str">
        <f>VLOOKUP(Backlog!$A8,Data!$A$2:$N$18,6)</f>
        <v>Seleccionar pedido, confirmar eliminación, actualizar estado a Cancelado y revertir stock</v>
      </c>
      <c r="F8" s="40" t="str">
        <f>VLOOKUP(Backlog!$A8,Data!$A$2:$N$18,13)</f>
        <v>Eliminación lógica que conserva historial</v>
      </c>
      <c r="G8" s="40" t="s">
        <v>8</v>
      </c>
      <c r="H8" s="40" t="s">
        <v>9</v>
      </c>
    </row>
    <row r="9" spans="1:26" ht="25.5" x14ac:dyDescent="0.2">
      <c r="A9" s="3" t="s">
        <v>92</v>
      </c>
      <c r="B9" s="40" t="str">
        <f>VLOOKUP(Backlog!A9,Data!$A$2:$N$18,14)</f>
        <v>Consultar Cliente</v>
      </c>
      <c r="C9" s="40" t="str">
        <f>VLOOKUP(Backlog!$A9,Data!$A$2:$N$18,5)</f>
        <v>Propietario</v>
      </c>
      <c r="D9" s="40" t="str">
        <f>VLOOKUP(Backlog!$A9,Data!$A$2:$N$18,6)</f>
        <v>Ingresar criterio de búsqueda, sistema muestra resultados coincidentes</v>
      </c>
      <c r="E9" s="40" t="str">
        <f>VLOOKUP(Backlog!$A9,Data!$A$2:$N$18,6)</f>
        <v>Ingresar criterio de búsqueda, sistema muestra resultados coincidentes</v>
      </c>
      <c r="F9" s="40" t="str">
        <f>VLOOKUP(Backlog!$A9,Data!$A$2:$N$18,13)</f>
        <v/>
      </c>
      <c r="G9" s="40" t="s">
        <v>13</v>
      </c>
      <c r="H9" s="40" t="s">
        <v>9</v>
      </c>
    </row>
    <row r="10" spans="1:26" ht="38.25" x14ac:dyDescent="0.2">
      <c r="A10" s="3" t="s">
        <v>99</v>
      </c>
      <c r="B10" s="40" t="str">
        <f>VLOOKUP(Backlog!A10,Data!$A$2:$N$18,14)</f>
        <v>Registrar Cliente</v>
      </c>
      <c r="C10" s="40" t="str">
        <f>VLOOKUP(Backlog!$A10,Data!$A$2:$N$18,5)</f>
        <v>Propietario</v>
      </c>
      <c r="D10" s="40" t="str">
        <f>VLOOKUP(Backlog!$A10,Data!$A$2:$N$18,6)</f>
        <v>Ingresar datos del cliente en formulario, validar formatos y guardar en base de datos</v>
      </c>
      <c r="E10" s="40" t="str">
        <f>VLOOKUP(Backlog!$A10,Data!$A$2:$N$18,6)</f>
        <v>Ingresar datos del cliente en formulario, validar formatos y guardar en base de datos</v>
      </c>
      <c r="F10" s="40" t="str">
        <f>VLOOKUP(Backlog!$A10,Data!$A$2:$N$18,13)</f>
        <v>Todos los campos son obligatorios</v>
      </c>
      <c r="G10" s="40" t="s">
        <v>164</v>
      </c>
      <c r="H10" s="40" t="s">
        <v>9</v>
      </c>
    </row>
    <row r="11" spans="1:26" ht="25.5" x14ac:dyDescent="0.2">
      <c r="A11" s="3" t="s">
        <v>106</v>
      </c>
      <c r="B11" s="40" t="str">
        <f>VLOOKUP(Backlog!A11,Data!$A$2:$N$18,14)</f>
        <v>Actualizar Cliente</v>
      </c>
      <c r="C11" s="40" t="str">
        <f>VLOOKUP(Backlog!$A11,Data!$A$2:$N$18,5)</f>
        <v>Propietario</v>
      </c>
      <c r="D11" s="40" t="str">
        <f>VLOOKUP(Backlog!$A11,Data!$A$2:$N$18,6)</f>
        <v>Seleccionar cliente de lista, editar campos y guardar cambios validados</v>
      </c>
      <c r="E11" s="40" t="str">
        <f>VLOOKUP(Backlog!$A11,Data!$A$2:$N$18,6)</f>
        <v>Seleccionar cliente de lista, editar campos y guardar cambios validados</v>
      </c>
      <c r="F11" s="40" t="str">
        <f>VLOOKUP(Backlog!$A11,Data!$A$2:$N$18,13)</f>
        <v/>
      </c>
      <c r="G11" s="40" t="s">
        <v>8</v>
      </c>
      <c r="H11" s="40" t="s">
        <v>9</v>
      </c>
    </row>
    <row r="12" spans="1:26" ht="76.5" x14ac:dyDescent="0.2">
      <c r="A12" s="3" t="s">
        <v>113</v>
      </c>
      <c r="B12" s="40" t="str">
        <f>VLOOKUP(Backlog!A12,Data!$A$2:$N$18,14)</f>
        <v>Eliminar Cliente</v>
      </c>
      <c r="C12" s="40" t="str">
        <f>VLOOKUP(Backlog!$A12,Data!$A$2:$N$18,5)</f>
        <v>Propietario</v>
      </c>
      <c r="D12" s="40" t="str">
        <f>VLOOKUP(Backlog!$A12,Data!$A$2:$N$18,6)</f>
        <v>Seleccionar cliente, confirmar eliminación, actualizar estado a Inactivo</v>
      </c>
      <c r="E12" s="40" t="str">
        <f>VLOOKUP(Backlog!$A12,Data!$A$2:$N$18,6)</f>
        <v>Seleccionar cliente, confirmar eliminación, actualizar estado a Inactivo</v>
      </c>
      <c r="F12" s="40" t="str">
        <f>VLOOKUP(Backlog!$A12,Data!$A$2:$N$18,13)</f>
        <v>Puede alternarse vista entre clientes Activos e Inactivos</v>
      </c>
      <c r="G12" s="40" t="s">
        <v>13</v>
      </c>
      <c r="H12" s="40" t="s">
        <v>9</v>
      </c>
    </row>
    <row r="13" spans="1:26" ht="76.5" x14ac:dyDescent="0.2">
      <c r="A13" s="3" t="s">
        <v>121</v>
      </c>
      <c r="B13" s="40" t="str">
        <f>VLOOKUP(Backlog!A13,Data!$A$2:$N$18,14)</f>
        <v>Actualizar Pedido</v>
      </c>
      <c r="C13" s="40" t="str">
        <f>VLOOKUP(Backlog!$A13,Data!$A$2:$N$18,5)</f>
        <v>Propietario</v>
      </c>
      <c r="D13" s="40" t="str">
        <f>VLOOKUP(Backlog!$A13,Data!$A$2:$N$18,6)</f>
        <v>Seleccionar pedido, editar datos, sistema recalcula totales y actualiza inventario</v>
      </c>
      <c r="E13" s="40" t="str">
        <f>VLOOKUP(Backlog!$A13,Data!$A$2:$N$18,6)</f>
        <v>Seleccionar pedido, editar datos, sistema recalcula totales y actualiza inventario</v>
      </c>
      <c r="F13" s="40" t="str">
        <f>VLOOKUP(Backlog!$A13,Data!$A$2:$N$18,13)</f>
        <v>Ajusta inventario por aumentos o disminuciones de cantidades</v>
      </c>
      <c r="G13" s="40" t="s">
        <v>164</v>
      </c>
      <c r="H13" s="40" t="s">
        <v>9</v>
      </c>
    </row>
    <row r="14" spans="1:26" ht="76.5" x14ac:dyDescent="0.2">
      <c r="A14" s="3" t="s">
        <v>128</v>
      </c>
      <c r="B14" s="40" t="str">
        <f>VLOOKUP(Backlog!A14,Data!$A$2:$N$18,14)</f>
        <v>Controlar Estado de Pedido</v>
      </c>
      <c r="C14" s="40" t="str">
        <f>VLOOKUP(Backlog!$A14,Data!$A$2:$N$18,5)</f>
        <v>Propietario</v>
      </c>
      <c r="D14" s="40" t="str">
        <f>VLOOKUP(Backlog!$A14,Data!$A$2:$N$18,6)</f>
        <v>Seleccionar pedido, elegir nuevo estado de opciones permitidas, actualizar</v>
      </c>
      <c r="E14" s="40" t="str">
        <f>VLOOKUP(Backlog!$A14,Data!$A$2:$N$18,6)</f>
        <v>Seleccionar pedido, elegir nuevo estado de opciones permitidas, actualizar</v>
      </c>
      <c r="F14" s="40" t="str">
        <f>VLOOKUP(Backlog!$A14,Data!$A$2:$N$18,13)</f>
        <v>Estados: Pendiente, En Proceso, En Espera, Completado, Cancelado</v>
      </c>
      <c r="G14" s="40" t="s">
        <v>8</v>
      </c>
      <c r="H14" s="40" t="s">
        <v>9</v>
      </c>
    </row>
    <row r="15" spans="1:26" ht="76.5" x14ac:dyDescent="0.2">
      <c r="A15" s="3" t="s">
        <v>135</v>
      </c>
      <c r="B15" s="40" t="str">
        <f>VLOOKUP(Backlog!A15,Data!$A$2:$N$18,14)</f>
        <v>Generar Reporte de Pedidos</v>
      </c>
      <c r="C15" s="40" t="str">
        <f>VLOOKUP(Backlog!$A15,Data!$A$2:$N$18,5)</f>
        <v>Propietario</v>
      </c>
      <c r="D15" s="40" t="str">
        <f>VLOOKUP(Backlog!$A15,Data!$A$2:$N$18,6)</f>
        <v>Aplicar filtros deseados, generar reporte, descargar archivo Excel con información completa</v>
      </c>
      <c r="E15" s="40" t="str">
        <f>VLOOKUP(Backlog!$A15,Data!$A$2:$N$18,6)</f>
        <v>Aplicar filtros deseados, generar reporte, descargar archivo Excel con información completa</v>
      </c>
      <c r="F15" s="40" t="str">
        <f>VLOOKUP(Backlog!$A15,Data!$A$2:$N$18,13)</f>
        <v>Incluye agregados como total de ventas y productos vendidos</v>
      </c>
      <c r="G15" s="40" t="s">
        <v>13</v>
      </c>
      <c r="H15" s="40" t="s">
        <v>9</v>
      </c>
    </row>
    <row r="16" spans="1:26" ht="51" x14ac:dyDescent="0.2">
      <c r="A16" s="3" t="s">
        <v>142</v>
      </c>
      <c r="B16" s="40" t="str">
        <f>VLOOKUP(Backlog!A16,Data!$A$2:$N$18,14)</f>
        <v>Crear Nueva Mezcla Personalizada</v>
      </c>
      <c r="C16" s="40" t="str">
        <f>VLOOKUP(Backlog!$A16,Data!$A$2:$N$18,5)</f>
        <v>Propietario</v>
      </c>
      <c r="D16" s="40" t="str">
        <f>VLOOKUP(Backlog!$A16,Data!$A$2:$N$18,6)</f>
        <v>Seleccionar productos, ingresar cantidades en libras, sistema calcula precio dinámicamente</v>
      </c>
      <c r="E16" s="40" t="str">
        <f>VLOOKUP(Backlog!$A16,Data!$A$2:$N$18,6)</f>
        <v>Seleccionar productos, ingresar cantidades en libras, sistema calcula precio dinámicamente</v>
      </c>
      <c r="F16" s="40" t="str">
        <f>VLOOKUP(Backlog!$A16,Data!$A$2:$N$18,13)</f>
        <v>Nombre de mezcla: 3-25 caracteres alfanuméricos</v>
      </c>
      <c r="G16" s="40" t="s">
        <v>164</v>
      </c>
      <c r="H16" s="40" t="s">
        <v>9</v>
      </c>
    </row>
    <row r="17" spans="1:8" ht="63.75" x14ac:dyDescent="0.2">
      <c r="A17" s="3" t="s">
        <v>149</v>
      </c>
      <c r="B17" s="40" t="str">
        <f>VLOOKUP(Backlog!A17,Data!$A$2:$N$18,14)</f>
        <v>Consultar Mezclas Personalizadas</v>
      </c>
      <c r="C17" s="40" t="str">
        <f>VLOOKUP(Backlog!$A17,Data!$A$2:$N$18,5)</f>
        <v>Propietario</v>
      </c>
      <c r="D17" s="40" t="str">
        <f>VLOOKUP(Backlog!$A17,Data!$A$2:$N$18,6)</f>
        <v>Ver mezclas predefinidas y guardadas, recibir sugerencias, ajustar cantidades</v>
      </c>
      <c r="E17" s="40" t="str">
        <f>VLOOKUP(Backlog!$A17,Data!$A$2:$N$18,6)</f>
        <v>Ver mezclas predefinidas y guardadas, recibir sugerencias, ajustar cantidades</v>
      </c>
      <c r="F17" s="40" t="str">
        <f>VLOOKUP(Backlog!$A17,Data!$A$2:$N$18,13)</f>
        <v>Recomendaciones simples basadas en compras frecuentes</v>
      </c>
      <c r="G17" s="40" t="s">
        <v>8</v>
      </c>
      <c r="H17" s="40" t="s">
        <v>9</v>
      </c>
    </row>
    <row r="18" spans="1:8" ht="63.75" x14ac:dyDescent="0.2">
      <c r="A18" s="3" t="s">
        <v>156</v>
      </c>
      <c r="B18" s="40" t="str">
        <f>VLOOKUP(Backlog!A18,Data!$A$2:$N$18,14)</f>
        <v>Guardar Mezcla Personalizada</v>
      </c>
      <c r="C18" s="40" t="str">
        <f>VLOOKUP(Backlog!$A18,Data!$A$2:$N$18,5)</f>
        <v>Propietario</v>
      </c>
      <c r="D18" s="40" t="str">
        <f>VLOOKUP(Backlog!$A18,Data!$A$2:$N$18,6)</f>
        <v>Diseñar mezcla, ingresar nombre único, guardar en perfil</v>
      </c>
      <c r="E18" s="40" t="str">
        <f>VLOOKUP(Backlog!$A18,Data!$A$2:$N$18,6)</f>
        <v>Diseñar mezcla, ingresar nombre único, guardar en perfil</v>
      </c>
      <c r="F18" s="40" t="str">
        <f>VLOOKUP(Backlog!$A18,Data!$A$2:$N$18,13)</f>
        <v>Mezclas guardadas no afectan stock hasta usarse en pedido</v>
      </c>
      <c r="G18" s="40" t="s">
        <v>13</v>
      </c>
      <c r="H18" s="40" t="s">
        <v>9</v>
      </c>
    </row>
    <row r="19" spans="1:8" ht="15.75" customHeight="1" x14ac:dyDescent="0.2"/>
    <row r="20" spans="1:8" ht="15.75" customHeight="1" x14ac:dyDescent="0.2"/>
    <row r="21" spans="1:8" ht="15.75" customHeight="1" x14ac:dyDescent="0.2"/>
    <row r="22" spans="1:8" ht="15.75" customHeight="1" x14ac:dyDescent="0.2"/>
    <row r="23" spans="1:8" ht="15.75" customHeight="1" x14ac:dyDescent="0.2"/>
    <row r="24" spans="1:8" ht="15.75" customHeight="1" x14ac:dyDescent="0.2"/>
    <row r="25" spans="1:8" ht="15.75" customHeight="1" x14ac:dyDescent="0.2"/>
    <row r="26" spans="1:8" ht="15.75" customHeight="1" x14ac:dyDescent="0.2"/>
    <row r="27" spans="1:8" ht="15.75" customHeight="1" x14ac:dyDescent="0.2"/>
    <row r="28" spans="1:8" ht="15.75" customHeight="1" x14ac:dyDescent="0.2"/>
    <row r="29" spans="1:8" ht="15.75" customHeight="1" x14ac:dyDescent="0.2"/>
    <row r="30" spans="1:8" ht="15.75" customHeight="1" x14ac:dyDescent="0.2"/>
    <row r="31" spans="1:8" ht="15.75" customHeight="1" x14ac:dyDescent="0.2"/>
    <row r="32" spans="1: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honeticPr fontId="12"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78"/>
  <sheetViews>
    <sheetView topLeftCell="A11" workbookViewId="0">
      <selection activeCell="F8" sqref="F8"/>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17</v>
      </c>
      <c r="G3" s="5" t="s">
        <v>18</v>
      </c>
      <c r="H3" s="5" t="s">
        <v>4</v>
      </c>
      <c r="I3" s="5" t="s">
        <v>19</v>
      </c>
      <c r="J3" s="5" t="s">
        <v>20</v>
      </c>
      <c r="K3" s="5" t="s">
        <v>239</v>
      </c>
    </row>
    <row r="4" spans="1:27" ht="63.75" x14ac:dyDescent="0.2">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4.75" x14ac:dyDescent="0.2">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3.75" x14ac:dyDescent="0.2">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8.25" x14ac:dyDescent="0.2">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76.5" x14ac:dyDescent="0.2">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8.25" x14ac:dyDescent="0.2">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8.25" x14ac:dyDescent="0.2">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1" x14ac:dyDescent="0.2">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38.25" x14ac:dyDescent="0.2">
      <c r="A12" s="4"/>
      <c r="B12" s="3" t="s">
        <v>204</v>
      </c>
      <c r="C12" s="40" t="s">
        <v>200</v>
      </c>
      <c r="D12" s="40"/>
      <c r="E12" s="40" t="s">
        <v>208</v>
      </c>
      <c r="F12" s="40" t="s">
        <v>212</v>
      </c>
      <c r="G12" s="40" t="s">
        <v>56</v>
      </c>
      <c r="H12" s="40" t="s">
        <v>216</v>
      </c>
      <c r="I12" s="40" t="s">
        <v>8</v>
      </c>
      <c r="J12" s="40" t="s">
        <v>9</v>
      </c>
      <c r="K12" s="4">
        <v>2.5</v>
      </c>
      <c r="L12" s="4"/>
      <c r="M12" s="4"/>
      <c r="N12" s="4"/>
      <c r="O12" s="4"/>
      <c r="P12" s="4"/>
      <c r="Q12" s="4"/>
      <c r="R12" s="4"/>
      <c r="S12" s="4"/>
      <c r="T12" s="4"/>
      <c r="U12" s="4"/>
      <c r="V12" s="4"/>
      <c r="W12" s="4"/>
      <c r="X12" s="4"/>
      <c r="Y12" s="4"/>
      <c r="Z12" s="4"/>
      <c r="AA12" s="4"/>
    </row>
    <row r="13" spans="1:27" ht="76.5" x14ac:dyDescent="0.2">
      <c r="A13" s="4"/>
      <c r="B13" s="3" t="s">
        <v>11</v>
      </c>
      <c r="C13" s="40" t="s">
        <v>52</v>
      </c>
      <c r="D13" s="40" t="s">
        <v>46</v>
      </c>
      <c r="E13" s="40" t="s">
        <v>47</v>
      </c>
      <c r="F13" s="40" t="s">
        <v>47</v>
      </c>
      <c r="G13" s="40" t="s">
        <v>48</v>
      </c>
      <c r="H13" s="40" t="s">
        <v>51</v>
      </c>
      <c r="I13" s="40" t="s">
        <v>8</v>
      </c>
      <c r="J13" s="40" t="s">
        <v>9</v>
      </c>
      <c r="K13">
        <f>SUM(K14:K17)</f>
        <v>10.5</v>
      </c>
      <c r="L13" s="4"/>
      <c r="M13" s="4"/>
      <c r="N13" s="4"/>
      <c r="O13" s="4"/>
      <c r="P13" s="4"/>
      <c r="Q13" s="4"/>
      <c r="R13" s="4"/>
      <c r="S13" s="4"/>
      <c r="T13" s="4"/>
      <c r="U13" s="4"/>
      <c r="V13" s="4"/>
      <c r="W13" s="4"/>
      <c r="X13" s="4"/>
      <c r="Y13" s="4"/>
      <c r="Z13" s="4"/>
      <c r="AA13" s="4"/>
    </row>
    <row r="14" spans="1:27" ht="38.25" x14ac:dyDescent="0.2">
      <c r="A14" s="4"/>
      <c r="B14" s="3" t="s">
        <v>217</v>
      </c>
      <c r="C14" s="40" t="s">
        <v>221</v>
      </c>
      <c r="D14" s="40"/>
      <c r="E14" s="40" t="s">
        <v>225</v>
      </c>
      <c r="F14" s="40" t="s">
        <v>229</v>
      </c>
      <c r="G14" s="40" t="s">
        <v>48</v>
      </c>
      <c r="H14" s="40" t="s">
        <v>233</v>
      </c>
      <c r="I14" s="40" t="s">
        <v>8</v>
      </c>
      <c r="J14" s="40" t="s">
        <v>9</v>
      </c>
      <c r="K14" s="4">
        <v>3.5</v>
      </c>
      <c r="L14" s="4"/>
      <c r="M14" s="4"/>
      <c r="N14" s="4"/>
      <c r="O14" s="4"/>
      <c r="P14" s="4"/>
      <c r="Q14" s="4"/>
      <c r="R14" s="4"/>
      <c r="S14" s="4"/>
      <c r="T14" s="4"/>
      <c r="U14" s="4"/>
      <c r="V14" s="4"/>
      <c r="W14" s="4"/>
      <c r="X14" s="4"/>
      <c r="Y14" s="4"/>
      <c r="Z14" s="4"/>
      <c r="AA14" s="4"/>
    </row>
    <row r="15" spans="1:27" ht="25.5" x14ac:dyDescent="0.2">
      <c r="A15" s="4"/>
      <c r="B15" s="3" t="s">
        <v>218</v>
      </c>
      <c r="C15" s="40" t="s">
        <v>222</v>
      </c>
      <c r="D15" s="40"/>
      <c r="E15" s="40" t="s">
        <v>226</v>
      </c>
      <c r="F15" s="40" t="s">
        <v>230</v>
      </c>
      <c r="G15" s="40" t="s">
        <v>48</v>
      </c>
      <c r="H15" s="40" t="s">
        <v>234</v>
      </c>
      <c r="I15" s="40" t="s">
        <v>8</v>
      </c>
      <c r="J15" s="40" t="s">
        <v>9</v>
      </c>
      <c r="K15" s="4">
        <v>2</v>
      </c>
      <c r="L15" s="4"/>
      <c r="M15" s="4"/>
      <c r="N15" s="4"/>
      <c r="O15" s="4"/>
      <c r="P15" s="4"/>
      <c r="Q15" s="4"/>
      <c r="R15" s="4"/>
      <c r="S15" s="4"/>
      <c r="T15" s="4"/>
      <c r="U15" s="4"/>
      <c r="V15" s="4"/>
      <c r="W15" s="4"/>
      <c r="X15" s="4"/>
      <c r="Y15" s="4"/>
      <c r="Z15" s="4"/>
      <c r="AA15" s="4"/>
    </row>
    <row r="16" spans="1:27" ht="38.25" x14ac:dyDescent="0.2">
      <c r="B16" s="3" t="s">
        <v>219</v>
      </c>
      <c r="C16" s="40" t="s">
        <v>223</v>
      </c>
      <c r="D16" s="40"/>
      <c r="E16" s="40" t="s">
        <v>227</v>
      </c>
      <c r="F16" s="40" t="s">
        <v>231</v>
      </c>
      <c r="G16" s="40" t="s">
        <v>48</v>
      </c>
      <c r="H16" s="40" t="s">
        <v>235</v>
      </c>
      <c r="I16" s="40" t="s">
        <v>8</v>
      </c>
      <c r="J16" s="40" t="s">
        <v>9</v>
      </c>
      <c r="K16" s="4">
        <v>3</v>
      </c>
    </row>
    <row r="17" spans="2:11" ht="38.25" x14ac:dyDescent="0.2">
      <c r="B17" s="3" t="s">
        <v>220</v>
      </c>
      <c r="C17" s="40" t="s">
        <v>224</v>
      </c>
      <c r="D17" s="40"/>
      <c r="E17" s="40" t="s">
        <v>228</v>
      </c>
      <c r="F17" s="40" t="s">
        <v>232</v>
      </c>
      <c r="G17" s="40" t="s">
        <v>48</v>
      </c>
      <c r="H17" s="40" t="s">
        <v>236</v>
      </c>
      <c r="I17" s="40" t="s">
        <v>8</v>
      </c>
      <c r="J17" s="40" t="s">
        <v>9</v>
      </c>
      <c r="K17" s="4">
        <v>2</v>
      </c>
    </row>
    <row r="18" spans="2:11" ht="12.75" x14ac:dyDescent="0.2">
      <c r="B18" s="6"/>
      <c r="C18" s="6"/>
      <c r="D18" s="7"/>
      <c r="E18" s="7"/>
      <c r="F18" s="7"/>
      <c r="G18" s="6"/>
      <c r="H18" s="6"/>
      <c r="I18" s="7"/>
      <c r="J18" s="8"/>
    </row>
    <row r="19" spans="2:11" ht="15.75" customHeight="1" x14ac:dyDescent="0.2"/>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phoneticPr fontId="12"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DFA38-3DF7-4121-9DE8-F56736C1FC2D}">
  <sheetPr>
    <outlinePr summaryBelow="0" summaryRight="0"/>
  </sheetPr>
  <dimension ref="A1:AA978"/>
  <sheetViews>
    <sheetView topLeftCell="A12" workbookViewId="0">
      <selection activeCell="B4" sqref="B4:K20"/>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51" x14ac:dyDescent="0.2">
      <c r="A4" s="4"/>
      <c r="B4" s="3" t="s">
        <v>12</v>
      </c>
      <c r="C4" s="40" t="s">
        <v>72</v>
      </c>
      <c r="D4" s="40" t="s">
        <v>46</v>
      </c>
      <c r="E4" s="40" t="s">
        <v>69</v>
      </c>
      <c r="F4" s="40" t="s">
        <v>69</v>
      </c>
      <c r="G4" s="40"/>
      <c r="H4" s="40" t="s">
        <v>243</v>
      </c>
      <c r="I4" s="40" t="s">
        <v>8</v>
      </c>
      <c r="J4" s="40" t="s">
        <v>9</v>
      </c>
      <c r="K4" s="4">
        <v>7</v>
      </c>
      <c r="L4" s="4"/>
      <c r="M4" s="4"/>
      <c r="N4" s="4"/>
      <c r="O4" s="4"/>
      <c r="P4" s="4"/>
      <c r="Q4" s="4"/>
      <c r="R4" s="4"/>
      <c r="S4" s="4"/>
      <c r="T4" s="4"/>
      <c r="U4" s="4"/>
      <c r="V4" s="4"/>
      <c r="W4" s="4"/>
      <c r="X4" s="4"/>
      <c r="Y4" s="4"/>
      <c r="Z4" s="4"/>
      <c r="AA4" s="4"/>
    </row>
    <row r="5" spans="1:27" ht="51" x14ac:dyDescent="0.2">
      <c r="A5" s="4"/>
      <c r="B5" s="3" t="s">
        <v>244</v>
      </c>
      <c r="C5" s="40" t="s">
        <v>245</v>
      </c>
      <c r="D5" s="40"/>
      <c r="E5" s="40" t="s">
        <v>246</v>
      </c>
      <c r="F5" s="40" t="s">
        <v>247</v>
      </c>
      <c r="G5" s="40"/>
      <c r="H5" s="40" t="s">
        <v>248</v>
      </c>
      <c r="I5" s="40" t="s">
        <v>8</v>
      </c>
      <c r="J5" s="40" t="s">
        <v>9</v>
      </c>
      <c r="K5" s="4">
        <v>2</v>
      </c>
      <c r="L5" s="4"/>
      <c r="M5" s="4"/>
      <c r="N5" s="4"/>
      <c r="O5" s="4"/>
      <c r="P5" s="4"/>
      <c r="Q5" s="4"/>
      <c r="R5" s="4"/>
      <c r="S5" s="4"/>
      <c r="T5" s="4"/>
      <c r="U5" s="4"/>
      <c r="V5" s="4"/>
      <c r="W5" s="4"/>
      <c r="X5" s="4"/>
      <c r="Y5" s="4"/>
      <c r="Z5" s="4"/>
      <c r="AA5" s="4"/>
    </row>
    <row r="6" spans="1:27" ht="38.25" x14ac:dyDescent="0.2">
      <c r="A6" s="4"/>
      <c r="B6" s="3" t="s">
        <v>249</v>
      </c>
      <c r="C6" s="40" t="s">
        <v>250</v>
      </c>
      <c r="D6" s="40"/>
      <c r="E6" s="40" t="s">
        <v>251</v>
      </c>
      <c r="F6" s="40" t="s">
        <v>252</v>
      </c>
      <c r="G6" s="40"/>
      <c r="H6" s="40" t="s">
        <v>253</v>
      </c>
      <c r="I6" s="40" t="s">
        <v>8</v>
      </c>
      <c r="J6" s="40" t="s">
        <v>9</v>
      </c>
      <c r="K6" s="4">
        <v>2.5</v>
      </c>
      <c r="L6" s="4"/>
      <c r="M6" s="4"/>
      <c r="N6" s="4"/>
      <c r="O6" s="4"/>
      <c r="P6" s="4"/>
      <c r="Q6" s="4"/>
      <c r="R6" s="4"/>
      <c r="S6" s="4"/>
      <c r="T6" s="4"/>
      <c r="U6" s="4"/>
      <c r="V6" s="4"/>
      <c r="W6" s="4"/>
      <c r="X6" s="4"/>
      <c r="Y6" s="4"/>
      <c r="Z6" s="4"/>
      <c r="AA6" s="4"/>
    </row>
    <row r="7" spans="1:27" ht="38.25" x14ac:dyDescent="0.2">
      <c r="A7" s="4"/>
      <c r="B7" s="3" t="s">
        <v>254</v>
      </c>
      <c r="C7" s="40" t="s">
        <v>255</v>
      </c>
      <c r="D7" s="40"/>
      <c r="E7" s="40" t="s">
        <v>256</v>
      </c>
      <c r="F7" s="40" t="s">
        <v>257</v>
      </c>
      <c r="G7" s="40"/>
      <c r="H7" s="40" t="s">
        <v>258</v>
      </c>
      <c r="I7" s="40" t="s">
        <v>8</v>
      </c>
      <c r="J7" s="40" t="s">
        <v>9</v>
      </c>
      <c r="K7" s="4">
        <v>2.5</v>
      </c>
      <c r="L7" s="4"/>
      <c r="M7" s="4"/>
      <c r="N7" s="4"/>
      <c r="O7" s="4"/>
      <c r="P7" s="4"/>
      <c r="Q7" s="4"/>
      <c r="R7" s="4"/>
      <c r="S7" s="4"/>
      <c r="T7" s="4"/>
      <c r="U7" s="4"/>
      <c r="V7" s="4"/>
      <c r="W7" s="4"/>
      <c r="X7" s="4"/>
      <c r="Y7" s="4"/>
      <c r="Z7" s="4"/>
      <c r="AA7" s="4"/>
    </row>
    <row r="8" spans="1:27" ht="63.75" x14ac:dyDescent="0.2">
      <c r="A8" s="4"/>
      <c r="B8" s="3" t="s">
        <v>14</v>
      </c>
      <c r="C8" s="40" t="s">
        <v>105</v>
      </c>
      <c r="D8" s="40" t="s">
        <v>46</v>
      </c>
      <c r="E8" s="40" t="s">
        <v>102</v>
      </c>
      <c r="F8" s="40" t="s">
        <v>102</v>
      </c>
      <c r="G8" s="40"/>
      <c r="H8" s="40" t="s">
        <v>104</v>
      </c>
      <c r="I8" s="40" t="s">
        <v>8</v>
      </c>
      <c r="J8" s="40" t="s">
        <v>9</v>
      </c>
      <c r="K8" s="4">
        <v>12</v>
      </c>
      <c r="L8" s="4"/>
      <c r="M8" s="4"/>
      <c r="N8" s="4"/>
      <c r="O8" s="4"/>
      <c r="P8" s="4"/>
      <c r="Q8" s="4"/>
      <c r="R8" s="4"/>
      <c r="S8" s="4"/>
      <c r="T8" s="4"/>
      <c r="U8" s="4"/>
      <c r="V8" s="4"/>
      <c r="W8" s="4"/>
      <c r="X8" s="4"/>
      <c r="Y8" s="4"/>
      <c r="Z8" s="4"/>
      <c r="AA8" s="4"/>
    </row>
    <row r="9" spans="1:27" ht="38.25" x14ac:dyDescent="0.2">
      <c r="A9" s="4"/>
      <c r="B9" s="3" t="s">
        <v>259</v>
      </c>
      <c r="C9" s="40" t="s">
        <v>260</v>
      </c>
      <c r="D9" s="40"/>
      <c r="E9" s="40" t="s">
        <v>261</v>
      </c>
      <c r="F9" s="40" t="s">
        <v>262</v>
      </c>
      <c r="G9" s="40"/>
      <c r="H9" s="40" t="s">
        <v>263</v>
      </c>
      <c r="I9" s="40" t="s">
        <v>8</v>
      </c>
      <c r="J9" s="40" t="s">
        <v>9</v>
      </c>
      <c r="K9" s="4">
        <v>3</v>
      </c>
      <c r="L9" s="4"/>
      <c r="M9" s="4"/>
      <c r="N9" s="4"/>
      <c r="O9" s="4"/>
      <c r="P9" s="4"/>
      <c r="Q9" s="4"/>
      <c r="R9" s="4"/>
      <c r="S9" s="4"/>
      <c r="T9" s="4"/>
      <c r="U9" s="4"/>
      <c r="V9" s="4"/>
      <c r="W9" s="4"/>
      <c r="X9" s="4"/>
      <c r="Y9" s="4"/>
      <c r="Z9" s="4"/>
      <c r="AA9" s="4"/>
    </row>
    <row r="10" spans="1:27" ht="38.25" x14ac:dyDescent="0.2">
      <c r="A10" s="4"/>
      <c r="B10" s="3" t="s">
        <v>264</v>
      </c>
      <c r="C10" s="40" t="s">
        <v>265</v>
      </c>
      <c r="D10" s="40"/>
      <c r="E10" s="40" t="s">
        <v>266</v>
      </c>
      <c r="F10" s="40" t="s">
        <v>267</v>
      </c>
      <c r="G10" s="40"/>
      <c r="H10" s="40" t="s">
        <v>268</v>
      </c>
      <c r="I10" s="40" t="s">
        <v>8</v>
      </c>
      <c r="J10" s="40" t="s">
        <v>9</v>
      </c>
      <c r="K10" s="4">
        <v>4</v>
      </c>
      <c r="L10" s="4"/>
      <c r="M10" s="4"/>
      <c r="N10" s="4"/>
      <c r="O10" s="4"/>
      <c r="P10" s="4"/>
      <c r="Q10" s="4"/>
      <c r="R10" s="4"/>
      <c r="S10" s="4"/>
      <c r="T10" s="4"/>
      <c r="U10" s="4"/>
      <c r="V10" s="4"/>
      <c r="W10" s="4"/>
      <c r="X10" s="4"/>
      <c r="Y10" s="4"/>
      <c r="Z10" s="4"/>
      <c r="AA10" s="4"/>
    </row>
    <row r="11" spans="1:27" ht="51" x14ac:dyDescent="0.2">
      <c r="A11" s="4"/>
      <c r="B11" s="3" t="s">
        <v>269</v>
      </c>
      <c r="C11" s="40" t="s">
        <v>270</v>
      </c>
      <c r="D11" s="40"/>
      <c r="E11" s="40" t="s">
        <v>271</v>
      </c>
      <c r="F11" s="40" t="s">
        <v>272</v>
      </c>
      <c r="G11" s="40"/>
      <c r="H11" s="40" t="s">
        <v>273</v>
      </c>
      <c r="I11" s="40" t="s">
        <v>8</v>
      </c>
      <c r="J11" s="40" t="s">
        <v>9</v>
      </c>
      <c r="K11" s="4">
        <v>2</v>
      </c>
      <c r="L11" s="4"/>
      <c r="M11" s="4"/>
      <c r="N11" s="4"/>
      <c r="O11" s="4"/>
      <c r="P11" s="4"/>
      <c r="Q11" s="4"/>
      <c r="R11" s="4"/>
      <c r="S11" s="4"/>
      <c r="T11" s="4"/>
      <c r="U11" s="4"/>
      <c r="V11" s="4"/>
      <c r="W11" s="4"/>
      <c r="X11" s="4"/>
      <c r="Y11" s="4"/>
      <c r="Z11" s="4"/>
      <c r="AA11" s="4"/>
    </row>
    <row r="12" spans="1:27" ht="38.25" x14ac:dyDescent="0.2">
      <c r="A12" s="4"/>
      <c r="B12" s="3" t="s">
        <v>274</v>
      </c>
      <c r="C12" s="40" t="s">
        <v>275</v>
      </c>
      <c r="D12" s="40"/>
      <c r="E12" s="40" t="s">
        <v>276</v>
      </c>
      <c r="F12" s="40" t="s">
        <v>277</v>
      </c>
      <c r="G12" s="40"/>
      <c r="H12" s="40" t="s">
        <v>278</v>
      </c>
      <c r="I12" s="40" t="s">
        <v>8</v>
      </c>
      <c r="J12" s="40" t="s">
        <v>9</v>
      </c>
      <c r="K12" s="4">
        <v>3</v>
      </c>
      <c r="L12" s="4"/>
      <c r="M12" s="4"/>
      <c r="N12" s="4"/>
      <c r="O12" s="4"/>
      <c r="P12" s="4"/>
      <c r="Q12" s="4"/>
      <c r="R12" s="4"/>
      <c r="S12" s="4"/>
      <c r="T12" s="4"/>
      <c r="U12" s="4"/>
      <c r="V12" s="4"/>
      <c r="W12" s="4"/>
      <c r="X12" s="4"/>
      <c r="Y12" s="4"/>
      <c r="Z12" s="4"/>
      <c r="AA12" s="4"/>
    </row>
    <row r="13" spans="1:27" ht="51" x14ac:dyDescent="0.2">
      <c r="A13" s="4"/>
      <c r="B13" s="3" t="s">
        <v>79</v>
      </c>
      <c r="C13" s="40" t="s">
        <v>120</v>
      </c>
      <c r="D13" s="40" t="s">
        <v>46</v>
      </c>
      <c r="E13" s="40" t="s">
        <v>116</v>
      </c>
      <c r="F13" s="40" t="s">
        <v>116</v>
      </c>
      <c r="G13" s="40"/>
      <c r="H13" s="40" t="s">
        <v>119</v>
      </c>
      <c r="I13" s="40" t="s">
        <v>13</v>
      </c>
      <c r="J13" s="40" t="s">
        <v>9</v>
      </c>
      <c r="K13">
        <v>8</v>
      </c>
      <c r="L13" s="4"/>
      <c r="M13" s="4"/>
      <c r="N13" s="4"/>
      <c r="O13" s="4"/>
      <c r="P13" s="4"/>
      <c r="Q13" s="4"/>
      <c r="R13" s="4"/>
      <c r="S13" s="4"/>
      <c r="T13" s="4"/>
      <c r="U13" s="4"/>
      <c r="V13" s="4"/>
      <c r="W13" s="4"/>
      <c r="X13" s="4"/>
      <c r="Y13" s="4"/>
      <c r="Z13" s="4"/>
      <c r="AA13" s="4"/>
    </row>
    <row r="14" spans="1:27" ht="38.25" x14ac:dyDescent="0.2">
      <c r="A14" s="4"/>
      <c r="B14" s="3" t="s">
        <v>279</v>
      </c>
      <c r="C14" s="40" t="s">
        <v>280</v>
      </c>
      <c r="D14" s="40"/>
      <c r="E14" s="40" t="s">
        <v>281</v>
      </c>
      <c r="F14" s="40" t="s">
        <v>282</v>
      </c>
      <c r="G14" s="40"/>
      <c r="H14" s="40" t="s">
        <v>283</v>
      </c>
      <c r="I14" s="40" t="s">
        <v>8</v>
      </c>
      <c r="J14" s="40" t="s">
        <v>9</v>
      </c>
      <c r="K14" s="4">
        <v>3</v>
      </c>
      <c r="L14" s="4"/>
      <c r="M14" s="4"/>
      <c r="N14" s="4"/>
      <c r="O14" s="4"/>
      <c r="P14" s="4"/>
      <c r="Q14" s="4"/>
      <c r="R14" s="4"/>
      <c r="S14" s="4"/>
      <c r="T14" s="4"/>
      <c r="U14" s="4"/>
      <c r="V14" s="4"/>
      <c r="W14" s="4"/>
      <c r="X14" s="4"/>
      <c r="Y14" s="4"/>
      <c r="Z14" s="4"/>
      <c r="AA14" s="4"/>
    </row>
    <row r="15" spans="1:27" ht="38.25" x14ac:dyDescent="0.2">
      <c r="A15" s="4"/>
      <c r="B15" s="3" t="s">
        <v>284</v>
      </c>
      <c r="C15" s="40" t="s">
        <v>285</v>
      </c>
      <c r="D15" s="40"/>
      <c r="E15" s="40" t="s">
        <v>286</v>
      </c>
      <c r="F15" s="40" t="s">
        <v>287</v>
      </c>
      <c r="G15" s="40"/>
      <c r="H15" s="40" t="s">
        <v>288</v>
      </c>
      <c r="I15" s="40" t="s">
        <v>8</v>
      </c>
      <c r="J15" s="40" t="s">
        <v>9</v>
      </c>
      <c r="K15" s="4">
        <v>3</v>
      </c>
      <c r="L15" s="4"/>
      <c r="M15" s="4"/>
      <c r="N15" s="4"/>
      <c r="O15" s="4"/>
      <c r="P15" s="4"/>
      <c r="Q15" s="4"/>
      <c r="R15" s="4"/>
      <c r="S15" s="4"/>
      <c r="T15" s="4"/>
      <c r="U15" s="4"/>
      <c r="V15" s="4"/>
      <c r="W15" s="4"/>
      <c r="X15" s="4"/>
      <c r="Y15" s="4"/>
      <c r="Z15" s="4"/>
      <c r="AA15" s="4"/>
    </row>
    <row r="16" spans="1:27" ht="38.25" x14ac:dyDescent="0.2">
      <c r="B16" s="3" t="s">
        <v>289</v>
      </c>
      <c r="C16" s="40" t="s">
        <v>290</v>
      </c>
      <c r="D16" s="40"/>
      <c r="E16" s="40" t="s">
        <v>291</v>
      </c>
      <c r="F16" s="40" t="s">
        <v>292</v>
      </c>
      <c r="G16" s="40"/>
      <c r="H16" s="40" t="s">
        <v>293</v>
      </c>
      <c r="I16" s="40" t="s">
        <v>8</v>
      </c>
      <c r="J16" s="40" t="s">
        <v>9</v>
      </c>
      <c r="K16" s="4">
        <v>2</v>
      </c>
    </row>
    <row r="17" spans="2:11" ht="63.75" x14ac:dyDescent="0.2">
      <c r="B17" s="3" t="s">
        <v>86</v>
      </c>
      <c r="C17" s="40" t="s">
        <v>127</v>
      </c>
      <c r="D17" s="40" t="s">
        <v>46</v>
      </c>
      <c r="E17" s="40" t="s">
        <v>124</v>
      </c>
      <c r="F17" s="40" t="s">
        <v>124</v>
      </c>
      <c r="G17" s="40"/>
      <c r="H17" s="40" t="s">
        <v>126</v>
      </c>
      <c r="I17" s="40" t="s">
        <v>8</v>
      </c>
      <c r="J17" s="40" t="s">
        <v>9</v>
      </c>
      <c r="K17" s="4">
        <v>7.5</v>
      </c>
    </row>
    <row r="18" spans="2:11" ht="38.25" x14ac:dyDescent="0.2">
      <c r="B18" s="3" t="s">
        <v>294</v>
      </c>
      <c r="C18" s="40" t="s">
        <v>295</v>
      </c>
      <c r="D18" s="40"/>
      <c r="E18" s="40" t="s">
        <v>296</v>
      </c>
      <c r="F18" s="40" t="s">
        <v>297</v>
      </c>
      <c r="G18" s="40"/>
      <c r="H18" s="40" t="s">
        <v>298</v>
      </c>
      <c r="I18" s="40" t="s">
        <v>8</v>
      </c>
      <c r="J18" s="40" t="s">
        <v>9</v>
      </c>
      <c r="K18" s="4">
        <v>2.5</v>
      </c>
    </row>
    <row r="19" spans="2:11" ht="38.25" x14ac:dyDescent="0.2">
      <c r="B19" s="3" t="s">
        <v>299</v>
      </c>
      <c r="C19" s="40" t="s">
        <v>300</v>
      </c>
      <c r="D19" s="40"/>
      <c r="E19" s="40" t="s">
        <v>301</v>
      </c>
      <c r="F19" s="40" t="s">
        <v>302</v>
      </c>
      <c r="G19" s="40"/>
      <c r="H19" s="40" t="s">
        <v>303</v>
      </c>
      <c r="I19" s="40" t="s">
        <v>8</v>
      </c>
      <c r="J19" s="40" t="s">
        <v>9</v>
      </c>
      <c r="K19" s="4">
        <v>3</v>
      </c>
    </row>
    <row r="20" spans="2:11" ht="38.25" x14ac:dyDescent="0.2">
      <c r="B20" s="3" t="s">
        <v>304</v>
      </c>
      <c r="C20" s="40" t="s">
        <v>305</v>
      </c>
      <c r="D20" s="40"/>
      <c r="E20" s="40" t="s">
        <v>306</v>
      </c>
      <c r="F20" s="40" t="s">
        <v>307</v>
      </c>
      <c r="G20" s="40"/>
      <c r="H20" s="40" t="s">
        <v>308</v>
      </c>
      <c r="I20" s="40" t="s">
        <v>8</v>
      </c>
      <c r="J20" s="40" t="s">
        <v>9</v>
      </c>
      <c r="K20" s="4">
        <v>2</v>
      </c>
    </row>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D969-7714-4FA8-94FC-DBABD99D4061}">
  <sheetPr>
    <outlinePr summaryBelow="0" summaryRight="0"/>
  </sheetPr>
  <dimension ref="A1:AA977"/>
  <sheetViews>
    <sheetView workbookViewId="0">
      <selection activeCell="B19" sqref="B4:K19"/>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51" x14ac:dyDescent="0.2">
      <c r="A4" s="4"/>
      <c r="B4" s="3" t="s">
        <v>92</v>
      </c>
      <c r="C4" s="40" t="s">
        <v>91</v>
      </c>
      <c r="D4" s="40" t="s">
        <v>46</v>
      </c>
      <c r="E4" s="40" t="s">
        <v>89</v>
      </c>
      <c r="F4" s="40" t="s">
        <v>89</v>
      </c>
      <c r="G4" s="40"/>
      <c r="H4" s="40" t="s">
        <v>309</v>
      </c>
      <c r="I4" s="40" t="s">
        <v>13</v>
      </c>
      <c r="J4" s="40" t="s">
        <v>9</v>
      </c>
      <c r="K4" s="4">
        <v>7</v>
      </c>
      <c r="L4" s="4"/>
      <c r="M4" s="4"/>
      <c r="N4" s="4"/>
      <c r="O4" s="4"/>
      <c r="P4" s="4"/>
      <c r="Q4" s="4"/>
      <c r="R4" s="4"/>
      <c r="S4" s="4"/>
      <c r="T4" s="4"/>
      <c r="U4" s="4"/>
      <c r="V4" s="4"/>
      <c r="W4" s="4"/>
      <c r="X4" s="4"/>
      <c r="Y4" s="4"/>
      <c r="Z4" s="4"/>
      <c r="AA4" s="4"/>
    </row>
    <row r="5" spans="1:27" ht="38.25" x14ac:dyDescent="0.2">
      <c r="A5" s="4"/>
      <c r="B5" s="3" t="s">
        <v>310</v>
      </c>
      <c r="C5" s="40" t="s">
        <v>311</v>
      </c>
      <c r="D5" s="40"/>
      <c r="E5" s="40" t="s">
        <v>312</v>
      </c>
      <c r="F5" s="40" t="s">
        <v>313</v>
      </c>
      <c r="G5" s="40"/>
      <c r="H5" s="40" t="s">
        <v>314</v>
      </c>
      <c r="I5" s="42" t="s">
        <v>13</v>
      </c>
      <c r="J5" s="40" t="s">
        <v>9</v>
      </c>
      <c r="K5" s="4">
        <v>2.5</v>
      </c>
      <c r="L5" s="4"/>
      <c r="M5" s="4"/>
      <c r="N5" s="4"/>
      <c r="O5" s="4"/>
      <c r="P5" s="4"/>
      <c r="Q5" s="4"/>
      <c r="R5" s="4"/>
      <c r="S5" s="4"/>
      <c r="T5" s="4"/>
      <c r="U5" s="4"/>
      <c r="V5" s="4"/>
      <c r="W5" s="4"/>
      <c r="X5" s="4"/>
      <c r="Y5" s="4"/>
      <c r="Z5" s="4"/>
      <c r="AA5" s="4"/>
    </row>
    <row r="6" spans="1:27" ht="38.25" x14ac:dyDescent="0.2">
      <c r="A6" s="4"/>
      <c r="B6" s="3" t="s">
        <v>315</v>
      </c>
      <c r="C6" s="40" t="s">
        <v>316</v>
      </c>
      <c r="D6" s="40"/>
      <c r="E6" s="40" t="s">
        <v>317</v>
      </c>
      <c r="F6" s="40" t="s">
        <v>318</v>
      </c>
      <c r="G6" s="40"/>
      <c r="H6" s="40" t="s">
        <v>319</v>
      </c>
      <c r="I6" s="40" t="s">
        <v>13</v>
      </c>
      <c r="J6" s="40" t="s">
        <v>9</v>
      </c>
      <c r="K6" s="4">
        <v>2.5</v>
      </c>
      <c r="L6" s="4"/>
      <c r="M6" s="4"/>
      <c r="N6" s="4"/>
      <c r="O6" s="4"/>
      <c r="P6" s="4"/>
      <c r="Q6" s="4"/>
      <c r="R6" s="4"/>
      <c r="S6" s="4"/>
      <c r="T6" s="4"/>
      <c r="U6" s="4"/>
      <c r="V6" s="4"/>
      <c r="W6" s="4"/>
      <c r="X6" s="4"/>
      <c r="Y6" s="4"/>
      <c r="Z6" s="4"/>
      <c r="AA6" s="4"/>
    </row>
    <row r="7" spans="1:27" ht="51" x14ac:dyDescent="0.2">
      <c r="A7" s="4"/>
      <c r="B7" s="3" t="s">
        <v>320</v>
      </c>
      <c r="C7" s="40" t="s">
        <v>321</v>
      </c>
      <c r="D7" s="40"/>
      <c r="E7" s="40" t="s">
        <v>322</v>
      </c>
      <c r="F7" s="40" t="s">
        <v>323</v>
      </c>
      <c r="G7" s="40"/>
      <c r="H7" s="40" t="s">
        <v>324</v>
      </c>
      <c r="I7" s="40" t="s">
        <v>13</v>
      </c>
      <c r="J7" s="40" t="s">
        <v>9</v>
      </c>
      <c r="K7" s="4">
        <v>2</v>
      </c>
      <c r="L7" s="4"/>
      <c r="M7" s="4"/>
      <c r="N7" s="4"/>
      <c r="O7" s="4"/>
      <c r="P7" s="4"/>
      <c r="Q7" s="4"/>
      <c r="R7" s="4"/>
      <c r="S7" s="4"/>
      <c r="T7" s="4"/>
      <c r="U7" s="4"/>
      <c r="V7" s="4"/>
      <c r="W7" s="4"/>
      <c r="X7" s="4"/>
      <c r="Y7" s="4"/>
      <c r="Z7" s="4"/>
      <c r="AA7" s="4"/>
    </row>
    <row r="8" spans="1:27" ht="38.25" x14ac:dyDescent="0.2">
      <c r="A8" s="4"/>
      <c r="B8" s="3" t="s">
        <v>99</v>
      </c>
      <c r="C8" s="40" t="s">
        <v>78</v>
      </c>
      <c r="D8" s="40" t="s">
        <v>46</v>
      </c>
      <c r="E8" s="40" t="s">
        <v>325</v>
      </c>
      <c r="F8" s="40" t="s">
        <v>326</v>
      </c>
      <c r="G8" s="40"/>
      <c r="H8" s="40" t="s">
        <v>77</v>
      </c>
      <c r="I8" s="40" t="s">
        <v>8</v>
      </c>
      <c r="J8" s="40" t="s">
        <v>9</v>
      </c>
      <c r="K8" s="4">
        <v>9</v>
      </c>
      <c r="L8" s="4"/>
      <c r="M8" s="4"/>
      <c r="N8" s="4"/>
      <c r="O8" s="4"/>
      <c r="P8" s="4"/>
      <c r="Q8" s="4"/>
      <c r="R8" s="4"/>
      <c r="S8" s="4"/>
      <c r="T8" s="4"/>
      <c r="U8" s="4"/>
      <c r="V8" s="4"/>
      <c r="W8" s="4"/>
      <c r="X8" s="4"/>
      <c r="Y8" s="4"/>
      <c r="Z8" s="4"/>
      <c r="AA8" s="4"/>
    </row>
    <row r="9" spans="1:27" ht="38.25" x14ac:dyDescent="0.2">
      <c r="A9" s="4"/>
      <c r="B9" s="3" t="s">
        <v>327</v>
      </c>
      <c r="C9" s="40" t="s">
        <v>328</v>
      </c>
      <c r="D9" s="40"/>
      <c r="E9" s="40" t="s">
        <v>329</v>
      </c>
      <c r="F9" s="40" t="s">
        <v>330</v>
      </c>
      <c r="G9" s="40"/>
      <c r="H9" s="40" t="s">
        <v>331</v>
      </c>
      <c r="I9" s="40" t="s">
        <v>8</v>
      </c>
      <c r="J9" s="40" t="s">
        <v>9</v>
      </c>
      <c r="K9" s="4">
        <v>3</v>
      </c>
      <c r="L9" s="4"/>
      <c r="M9" s="4"/>
      <c r="N9" s="4"/>
      <c r="O9" s="4"/>
      <c r="P9" s="4"/>
      <c r="Q9" s="4"/>
      <c r="R9" s="4"/>
      <c r="S9" s="4"/>
      <c r="T9" s="4"/>
      <c r="U9" s="4"/>
      <c r="V9" s="4"/>
      <c r="W9" s="4"/>
      <c r="X9" s="4"/>
      <c r="Y9" s="4"/>
      <c r="Z9" s="4"/>
      <c r="AA9" s="4"/>
    </row>
    <row r="10" spans="1:27" ht="38.25" x14ac:dyDescent="0.2">
      <c r="A10" s="4"/>
      <c r="B10" s="3" t="s">
        <v>332</v>
      </c>
      <c r="C10" s="40" t="s">
        <v>333</v>
      </c>
      <c r="D10" s="40"/>
      <c r="E10" s="40" t="s">
        <v>334</v>
      </c>
      <c r="F10" s="40" t="s">
        <v>335</v>
      </c>
      <c r="G10" s="40"/>
      <c r="H10" s="40" t="s">
        <v>336</v>
      </c>
      <c r="I10" s="40" t="s">
        <v>8</v>
      </c>
      <c r="J10" s="40" t="s">
        <v>9</v>
      </c>
      <c r="K10" s="4">
        <v>3</v>
      </c>
      <c r="L10" s="4"/>
      <c r="M10" s="4"/>
      <c r="N10" s="4"/>
      <c r="O10" s="4"/>
      <c r="P10" s="4"/>
      <c r="Q10" s="4"/>
      <c r="R10" s="4"/>
      <c r="S10" s="4"/>
      <c r="T10" s="4"/>
      <c r="U10" s="4"/>
      <c r="V10" s="4"/>
      <c r="W10" s="4"/>
      <c r="X10" s="4"/>
      <c r="Y10" s="4"/>
      <c r="Z10" s="4"/>
      <c r="AA10" s="4"/>
    </row>
    <row r="11" spans="1:27" ht="38.25" x14ac:dyDescent="0.2">
      <c r="A11" s="4"/>
      <c r="B11" s="3" t="s">
        <v>337</v>
      </c>
      <c r="C11" s="40" t="s">
        <v>338</v>
      </c>
      <c r="D11" s="40"/>
      <c r="E11" s="40" t="s">
        <v>339</v>
      </c>
      <c r="F11" s="40" t="s">
        <v>340</v>
      </c>
      <c r="G11" s="40"/>
      <c r="H11" s="40" t="s">
        <v>341</v>
      </c>
      <c r="I11" s="40" t="s">
        <v>8</v>
      </c>
      <c r="J11" s="40" t="s">
        <v>9</v>
      </c>
      <c r="K11" s="4">
        <v>3</v>
      </c>
      <c r="L11" s="4"/>
      <c r="M11" s="4"/>
      <c r="N11" s="4"/>
      <c r="O11" s="4"/>
      <c r="P11" s="4"/>
      <c r="Q11" s="4"/>
      <c r="R11" s="4"/>
      <c r="S11" s="4"/>
      <c r="T11" s="4"/>
      <c r="U11" s="4"/>
      <c r="V11" s="4"/>
      <c r="W11" s="4"/>
      <c r="X11" s="4"/>
      <c r="Y11" s="4"/>
      <c r="Z11" s="4"/>
      <c r="AA11" s="4"/>
    </row>
    <row r="12" spans="1:27" ht="38.25" x14ac:dyDescent="0.2">
      <c r="A12" s="4"/>
      <c r="B12" s="3" t="s">
        <v>106</v>
      </c>
      <c r="C12" s="40" t="s">
        <v>85</v>
      </c>
      <c r="D12" s="40" t="s">
        <v>46</v>
      </c>
      <c r="E12" s="40" t="s">
        <v>342</v>
      </c>
      <c r="F12" s="40" t="s">
        <v>82</v>
      </c>
      <c r="G12" s="40"/>
      <c r="H12" s="40"/>
      <c r="I12" s="40" t="s">
        <v>8</v>
      </c>
      <c r="J12" s="40" t="s">
        <v>9</v>
      </c>
      <c r="K12" s="4">
        <v>8.5</v>
      </c>
      <c r="L12" s="4"/>
      <c r="M12" s="4"/>
      <c r="N12" s="4"/>
      <c r="O12" s="4"/>
      <c r="P12" s="4"/>
      <c r="Q12" s="4"/>
      <c r="R12" s="4"/>
      <c r="S12" s="4"/>
      <c r="T12" s="4"/>
      <c r="U12" s="4"/>
      <c r="V12" s="4"/>
      <c r="W12" s="4"/>
      <c r="X12" s="4"/>
      <c r="Y12" s="4"/>
      <c r="Z12" s="4"/>
      <c r="AA12" s="4"/>
    </row>
    <row r="13" spans="1:27" ht="38.25" x14ac:dyDescent="0.2">
      <c r="A13" s="4"/>
      <c r="B13" s="3" t="s">
        <v>343</v>
      </c>
      <c r="C13" s="40" t="s">
        <v>344</v>
      </c>
      <c r="D13" s="40"/>
      <c r="E13" s="40" t="s">
        <v>345</v>
      </c>
      <c r="F13" s="40" t="s">
        <v>346</v>
      </c>
      <c r="G13" s="40"/>
      <c r="H13" s="40" t="s">
        <v>347</v>
      </c>
      <c r="I13" s="40" t="s">
        <v>8</v>
      </c>
      <c r="J13" s="40" t="s">
        <v>9</v>
      </c>
      <c r="K13">
        <v>2.5</v>
      </c>
      <c r="L13" s="4"/>
      <c r="M13" s="4"/>
      <c r="N13" s="4"/>
      <c r="O13" s="4"/>
      <c r="P13" s="4"/>
      <c r="Q13" s="4"/>
      <c r="R13" s="4"/>
      <c r="S13" s="4"/>
      <c r="T13" s="4"/>
      <c r="U13" s="4"/>
      <c r="V13" s="4"/>
      <c r="W13" s="4"/>
      <c r="X13" s="4"/>
      <c r="Y13" s="4"/>
      <c r="Z13" s="4"/>
      <c r="AA13" s="4"/>
    </row>
    <row r="14" spans="1:27" ht="38.25" x14ac:dyDescent="0.2">
      <c r="A14" s="4"/>
      <c r="B14" s="3" t="s">
        <v>348</v>
      </c>
      <c r="C14" s="40" t="s">
        <v>349</v>
      </c>
      <c r="D14" s="40"/>
      <c r="E14" s="40" t="s">
        <v>350</v>
      </c>
      <c r="F14" s="40" t="s">
        <v>351</v>
      </c>
      <c r="G14" s="40"/>
      <c r="H14" s="40" t="s">
        <v>352</v>
      </c>
      <c r="I14" s="40" t="s">
        <v>8</v>
      </c>
      <c r="J14" s="40" t="s">
        <v>9</v>
      </c>
      <c r="K14" s="4">
        <v>3</v>
      </c>
      <c r="L14" s="4"/>
      <c r="M14" s="4"/>
      <c r="N14" s="4"/>
      <c r="O14" s="4"/>
      <c r="P14" s="4"/>
      <c r="Q14" s="4"/>
      <c r="R14" s="4"/>
      <c r="S14" s="4"/>
      <c r="T14" s="4"/>
      <c r="U14" s="4"/>
      <c r="V14" s="4"/>
      <c r="W14" s="4"/>
      <c r="X14" s="4"/>
      <c r="Y14" s="4"/>
      <c r="Z14" s="4"/>
      <c r="AA14" s="4"/>
    </row>
    <row r="15" spans="1:27" ht="38.25" x14ac:dyDescent="0.2">
      <c r="A15" s="4"/>
      <c r="B15" s="3" t="s">
        <v>353</v>
      </c>
      <c r="C15" s="40" t="s">
        <v>354</v>
      </c>
      <c r="D15" s="40"/>
      <c r="E15" s="40" t="s">
        <v>355</v>
      </c>
      <c r="F15" s="40" t="s">
        <v>356</v>
      </c>
      <c r="G15" s="40"/>
      <c r="H15" s="40" t="s">
        <v>357</v>
      </c>
      <c r="I15" s="40" t="s">
        <v>8</v>
      </c>
      <c r="J15" s="40" t="s">
        <v>9</v>
      </c>
      <c r="K15" s="4">
        <v>3</v>
      </c>
      <c r="L15" s="4"/>
      <c r="M15" s="4"/>
      <c r="N15" s="4"/>
      <c r="O15" s="4"/>
      <c r="P15" s="4"/>
      <c r="Q15" s="4"/>
      <c r="R15" s="4"/>
      <c r="S15" s="4"/>
      <c r="T15" s="4"/>
      <c r="U15" s="4"/>
      <c r="V15" s="4"/>
      <c r="W15" s="4"/>
      <c r="X15" s="4"/>
      <c r="Y15" s="4"/>
      <c r="Z15" s="4"/>
      <c r="AA15" s="4"/>
    </row>
    <row r="16" spans="1:27" ht="51" x14ac:dyDescent="0.2">
      <c r="B16" s="3" t="s">
        <v>113</v>
      </c>
      <c r="C16" s="40" t="s">
        <v>98</v>
      </c>
      <c r="D16" s="40" t="s">
        <v>46</v>
      </c>
      <c r="E16" s="40" t="s">
        <v>95</v>
      </c>
      <c r="F16" s="40" t="s">
        <v>95</v>
      </c>
      <c r="G16" s="40"/>
      <c r="H16" s="40" t="s">
        <v>358</v>
      </c>
      <c r="I16" s="40" t="s">
        <v>13</v>
      </c>
      <c r="J16" s="40" t="s">
        <v>9</v>
      </c>
      <c r="K16" s="4">
        <v>7.5</v>
      </c>
    </row>
    <row r="17" spans="2:11" ht="38.25" x14ac:dyDescent="0.2">
      <c r="B17" s="3" t="s">
        <v>359</v>
      </c>
      <c r="C17" s="40" t="s">
        <v>360</v>
      </c>
      <c r="D17" s="40"/>
      <c r="E17" s="40" t="s">
        <v>361</v>
      </c>
      <c r="F17" s="40" t="s">
        <v>362</v>
      </c>
      <c r="G17" s="40"/>
      <c r="H17" s="40" t="s">
        <v>363</v>
      </c>
      <c r="I17" s="40" t="s">
        <v>13</v>
      </c>
      <c r="J17" s="40" t="s">
        <v>9</v>
      </c>
      <c r="K17" s="4">
        <v>2</v>
      </c>
    </row>
    <row r="18" spans="2:11" ht="25.5" x14ac:dyDescent="0.2">
      <c r="B18" s="3" t="s">
        <v>364</v>
      </c>
      <c r="C18" s="40" t="s">
        <v>365</v>
      </c>
      <c r="D18" s="40"/>
      <c r="E18" s="40" t="s">
        <v>366</v>
      </c>
      <c r="F18" s="40" t="s">
        <v>367</v>
      </c>
      <c r="G18" s="40"/>
      <c r="H18" s="40" t="s">
        <v>368</v>
      </c>
      <c r="I18" s="40" t="s">
        <v>8</v>
      </c>
      <c r="J18" s="40" t="s">
        <v>9</v>
      </c>
      <c r="K18" s="4">
        <v>2.5</v>
      </c>
    </row>
    <row r="19" spans="2:11" ht="38.25" x14ac:dyDescent="0.2">
      <c r="B19" s="3" t="s">
        <v>369</v>
      </c>
      <c r="C19" s="40" t="s">
        <v>370</v>
      </c>
      <c r="D19" s="40"/>
      <c r="E19" s="40" t="s">
        <v>371</v>
      </c>
      <c r="F19" s="40" t="s">
        <v>372</v>
      </c>
      <c r="G19" s="40"/>
      <c r="H19" s="40" t="s">
        <v>373</v>
      </c>
      <c r="I19" s="40" t="s">
        <v>13</v>
      </c>
      <c r="J19" s="40" t="s">
        <v>9</v>
      </c>
      <c r="K19" s="4">
        <v>3</v>
      </c>
    </row>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8648-8242-4B22-B377-397B3FC38747}">
  <sheetPr>
    <outlinePr summaryBelow="0" summaryRight="0"/>
  </sheetPr>
  <dimension ref="A1:AA977"/>
  <sheetViews>
    <sheetView workbookViewId="0">
      <selection activeCell="B19" sqref="B4:K19"/>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121</v>
      </c>
      <c r="C4" s="40" t="s">
        <v>112</v>
      </c>
      <c r="D4" s="40" t="s">
        <v>46</v>
      </c>
      <c r="E4" s="40" t="s">
        <v>109</v>
      </c>
      <c r="F4" s="40" t="s">
        <v>109</v>
      </c>
      <c r="G4" s="40"/>
      <c r="H4" s="40" t="s">
        <v>374</v>
      </c>
      <c r="I4" s="40" t="s">
        <v>13</v>
      </c>
      <c r="J4" s="40" t="s">
        <v>9</v>
      </c>
      <c r="K4" s="4">
        <v>10</v>
      </c>
      <c r="L4" s="4"/>
      <c r="M4" s="4"/>
      <c r="N4" s="4"/>
      <c r="O4" s="4"/>
      <c r="P4" s="4"/>
      <c r="Q4" s="4"/>
      <c r="R4" s="4"/>
      <c r="S4" s="4"/>
      <c r="T4" s="4"/>
      <c r="U4" s="4"/>
      <c r="V4" s="4"/>
      <c r="W4" s="4"/>
      <c r="X4" s="4"/>
      <c r="Y4" s="4"/>
      <c r="Z4" s="4"/>
      <c r="AA4" s="4"/>
    </row>
    <row r="5" spans="1:27" ht="38.25" x14ac:dyDescent="0.2">
      <c r="A5" s="4"/>
      <c r="B5" s="3" t="s">
        <v>375</v>
      </c>
      <c r="C5" s="40" t="s">
        <v>376</v>
      </c>
      <c r="D5" s="40"/>
      <c r="E5" s="40" t="s">
        <v>377</v>
      </c>
      <c r="F5" s="40" t="s">
        <v>378</v>
      </c>
      <c r="G5" s="40"/>
      <c r="H5" s="40" t="s">
        <v>379</v>
      </c>
      <c r="I5" s="40" t="s">
        <v>8</v>
      </c>
      <c r="J5" s="40" t="s">
        <v>9</v>
      </c>
      <c r="K5" s="4">
        <v>3</v>
      </c>
      <c r="L5" s="4"/>
      <c r="M5" s="4"/>
      <c r="N5" s="4"/>
      <c r="O5" s="4"/>
      <c r="P5" s="4"/>
      <c r="Q5" s="4"/>
      <c r="R5" s="4"/>
      <c r="S5" s="4"/>
      <c r="T5" s="4"/>
      <c r="U5" s="4"/>
      <c r="V5" s="4"/>
      <c r="W5" s="4"/>
      <c r="X5" s="4"/>
      <c r="Y5" s="4"/>
      <c r="Z5" s="4"/>
      <c r="AA5" s="4"/>
    </row>
    <row r="6" spans="1:27" ht="51" x14ac:dyDescent="0.2">
      <c r="A6" s="4"/>
      <c r="B6" s="3" t="s">
        <v>380</v>
      </c>
      <c r="C6" s="40" t="s">
        <v>381</v>
      </c>
      <c r="D6" s="40"/>
      <c r="E6" s="40" t="s">
        <v>382</v>
      </c>
      <c r="F6" s="40" t="s">
        <v>383</v>
      </c>
      <c r="G6" s="40"/>
      <c r="H6" s="40" t="s">
        <v>384</v>
      </c>
      <c r="I6" s="40" t="s">
        <v>8</v>
      </c>
      <c r="J6" s="40" t="s">
        <v>9</v>
      </c>
      <c r="K6" s="4">
        <v>4</v>
      </c>
      <c r="L6" s="4"/>
      <c r="M6" s="4"/>
      <c r="N6" s="4"/>
      <c r="O6" s="4"/>
      <c r="P6" s="4"/>
      <c r="Q6" s="4"/>
      <c r="R6" s="4"/>
      <c r="S6" s="4"/>
      <c r="T6" s="4"/>
      <c r="U6" s="4"/>
      <c r="V6" s="4"/>
      <c r="W6" s="4"/>
      <c r="X6" s="4"/>
      <c r="Y6" s="4"/>
      <c r="Z6" s="4"/>
      <c r="AA6" s="4"/>
    </row>
    <row r="7" spans="1:27" ht="38.25" x14ac:dyDescent="0.2">
      <c r="A7" s="4"/>
      <c r="B7" s="3" t="s">
        <v>385</v>
      </c>
      <c r="C7" s="40" t="s">
        <v>386</v>
      </c>
      <c r="D7" s="40"/>
      <c r="E7" s="40" t="s">
        <v>387</v>
      </c>
      <c r="F7" s="40" t="s">
        <v>388</v>
      </c>
      <c r="G7" s="40"/>
      <c r="H7" s="40" t="s">
        <v>389</v>
      </c>
      <c r="I7" s="40" t="s">
        <v>8</v>
      </c>
      <c r="J7" s="40" t="s">
        <v>9</v>
      </c>
      <c r="K7" s="4">
        <v>3</v>
      </c>
      <c r="L7" s="4"/>
      <c r="M7" s="4"/>
      <c r="N7" s="4"/>
      <c r="O7" s="4"/>
      <c r="P7" s="4"/>
      <c r="Q7" s="4"/>
      <c r="R7" s="4"/>
      <c r="S7" s="4"/>
      <c r="T7" s="4"/>
      <c r="U7" s="4"/>
      <c r="V7" s="4"/>
      <c r="W7" s="4"/>
      <c r="X7" s="4"/>
      <c r="Y7" s="4"/>
      <c r="Z7" s="4"/>
      <c r="AA7" s="4"/>
    </row>
    <row r="8" spans="1:27" ht="76.5" x14ac:dyDescent="0.2">
      <c r="A8" s="4"/>
      <c r="B8" s="3" t="s">
        <v>128</v>
      </c>
      <c r="C8" s="40" t="s">
        <v>390</v>
      </c>
      <c r="D8" s="40" t="s">
        <v>46</v>
      </c>
      <c r="E8" s="40" t="s">
        <v>131</v>
      </c>
      <c r="F8" s="40" t="s">
        <v>131</v>
      </c>
      <c r="G8" s="40"/>
      <c r="H8" s="40" t="s">
        <v>133</v>
      </c>
      <c r="I8" s="40" t="s">
        <v>8</v>
      </c>
      <c r="J8" s="40" t="s">
        <v>9</v>
      </c>
      <c r="K8" s="4">
        <v>6</v>
      </c>
      <c r="L8" s="4"/>
      <c r="M8" s="4"/>
      <c r="N8" s="4"/>
      <c r="O8" s="4"/>
      <c r="P8" s="4"/>
      <c r="Q8" s="4"/>
      <c r="R8" s="4"/>
      <c r="S8" s="4"/>
      <c r="T8" s="4"/>
      <c r="U8" s="4"/>
      <c r="V8" s="4"/>
      <c r="W8" s="4"/>
      <c r="X8" s="4"/>
      <c r="Y8" s="4"/>
      <c r="Z8" s="4"/>
      <c r="AA8" s="4"/>
    </row>
    <row r="9" spans="1:27" ht="38.25" x14ac:dyDescent="0.2">
      <c r="A9" s="4"/>
      <c r="B9" s="3" t="s">
        <v>391</v>
      </c>
      <c r="C9" s="40" t="s">
        <v>392</v>
      </c>
      <c r="D9" s="40"/>
      <c r="E9" s="40" t="s">
        <v>393</v>
      </c>
      <c r="F9" s="40" t="s">
        <v>394</v>
      </c>
      <c r="G9" s="40"/>
      <c r="H9" s="40" t="s">
        <v>395</v>
      </c>
      <c r="I9" s="40" t="s">
        <v>8</v>
      </c>
      <c r="J9" s="40" t="s">
        <v>9</v>
      </c>
      <c r="K9" s="4">
        <v>2</v>
      </c>
      <c r="L9" s="4"/>
      <c r="M9" s="4"/>
      <c r="N9" s="4"/>
      <c r="O9" s="4"/>
      <c r="P9" s="4"/>
      <c r="Q9" s="4"/>
      <c r="R9" s="4"/>
      <c r="S9" s="4"/>
      <c r="T9" s="4"/>
      <c r="U9" s="4"/>
      <c r="V9" s="4"/>
      <c r="W9" s="4"/>
      <c r="X9" s="4"/>
      <c r="Y9" s="4"/>
      <c r="Z9" s="4"/>
      <c r="AA9" s="4"/>
    </row>
    <row r="10" spans="1:27" ht="51" x14ac:dyDescent="0.2">
      <c r="A10" s="4"/>
      <c r="B10" s="3" t="s">
        <v>396</v>
      </c>
      <c r="C10" s="40" t="s">
        <v>397</v>
      </c>
      <c r="D10" s="40"/>
      <c r="E10" s="40" t="s">
        <v>398</v>
      </c>
      <c r="F10" s="40" t="s">
        <v>399</v>
      </c>
      <c r="G10" s="40"/>
      <c r="H10" s="40" t="s">
        <v>400</v>
      </c>
      <c r="I10" s="40" t="s">
        <v>13</v>
      </c>
      <c r="J10" s="40" t="s">
        <v>9</v>
      </c>
      <c r="K10" s="4">
        <v>2</v>
      </c>
      <c r="L10" s="4"/>
      <c r="M10" s="4"/>
      <c r="N10" s="4"/>
      <c r="O10" s="4"/>
      <c r="P10" s="4"/>
      <c r="Q10" s="4"/>
      <c r="R10" s="4"/>
      <c r="S10" s="4"/>
      <c r="T10" s="4"/>
      <c r="U10" s="4"/>
      <c r="V10" s="4"/>
      <c r="W10" s="4"/>
      <c r="X10" s="4"/>
      <c r="Y10" s="4"/>
      <c r="Z10" s="4"/>
      <c r="AA10" s="4"/>
    </row>
    <row r="11" spans="1:27" ht="38.25" x14ac:dyDescent="0.2">
      <c r="A11" s="4"/>
      <c r="B11" s="3" t="s">
        <v>401</v>
      </c>
      <c r="C11" s="40" t="s">
        <v>402</v>
      </c>
      <c r="D11" s="40"/>
      <c r="E11" s="40" t="s">
        <v>403</v>
      </c>
      <c r="F11" s="40" t="s">
        <v>404</v>
      </c>
      <c r="G11" s="40"/>
      <c r="H11" s="40" t="s">
        <v>405</v>
      </c>
      <c r="I11" s="40" t="s">
        <v>8</v>
      </c>
      <c r="J11" s="40" t="s">
        <v>9</v>
      </c>
      <c r="K11" s="4">
        <v>2</v>
      </c>
      <c r="L11" s="4"/>
      <c r="M11" s="4"/>
      <c r="N11" s="4"/>
      <c r="O11" s="4"/>
      <c r="P11" s="4"/>
      <c r="Q11" s="4"/>
      <c r="R11" s="4"/>
      <c r="S11" s="4"/>
      <c r="T11" s="4"/>
      <c r="U11" s="4"/>
      <c r="V11" s="4"/>
      <c r="W11" s="4"/>
      <c r="X11" s="4"/>
      <c r="Y11" s="4"/>
      <c r="Z11" s="4"/>
      <c r="AA11" s="4"/>
    </row>
    <row r="12" spans="1:27" ht="76.5" x14ac:dyDescent="0.2">
      <c r="A12" s="4"/>
      <c r="B12" s="3" t="s">
        <v>135</v>
      </c>
      <c r="C12" s="40" t="s">
        <v>406</v>
      </c>
      <c r="D12" s="40" t="s">
        <v>46</v>
      </c>
      <c r="E12" s="40" t="s">
        <v>138</v>
      </c>
      <c r="F12" s="40" t="s">
        <v>138</v>
      </c>
      <c r="G12" s="40"/>
      <c r="H12" s="40" t="s">
        <v>140</v>
      </c>
      <c r="I12" s="40" t="s">
        <v>13</v>
      </c>
      <c r="J12" s="40" t="s">
        <v>9</v>
      </c>
      <c r="K12" s="4">
        <v>9</v>
      </c>
      <c r="L12" s="4"/>
      <c r="M12" s="4"/>
      <c r="N12" s="4"/>
      <c r="O12" s="4"/>
      <c r="P12" s="4"/>
      <c r="Q12" s="4"/>
      <c r="R12" s="4"/>
      <c r="S12" s="4"/>
      <c r="T12" s="4"/>
      <c r="U12" s="4"/>
      <c r="V12" s="4"/>
      <c r="W12" s="4"/>
      <c r="X12" s="4"/>
      <c r="Y12" s="4"/>
      <c r="Z12" s="4"/>
      <c r="AA12" s="4"/>
    </row>
    <row r="13" spans="1:27" ht="38.25" x14ac:dyDescent="0.2">
      <c r="A13" s="4"/>
      <c r="B13" s="3" t="s">
        <v>407</v>
      </c>
      <c r="C13" s="40" t="s">
        <v>408</v>
      </c>
      <c r="D13" s="40"/>
      <c r="E13" s="40" t="s">
        <v>409</v>
      </c>
      <c r="F13" s="40" t="s">
        <v>410</v>
      </c>
      <c r="G13" s="40"/>
      <c r="H13" s="40" t="s">
        <v>411</v>
      </c>
      <c r="I13" s="40" t="s">
        <v>13</v>
      </c>
      <c r="J13" s="40" t="s">
        <v>9</v>
      </c>
      <c r="K13">
        <v>3</v>
      </c>
      <c r="L13" s="4"/>
      <c r="M13" s="4"/>
      <c r="N13" s="4"/>
      <c r="O13" s="4"/>
      <c r="P13" s="4"/>
      <c r="Q13" s="4"/>
      <c r="R13" s="4"/>
      <c r="S13" s="4"/>
      <c r="T13" s="4"/>
      <c r="U13" s="4"/>
      <c r="V13" s="4"/>
      <c r="W13" s="4"/>
      <c r="X13" s="4"/>
      <c r="Y13" s="4"/>
      <c r="Z13" s="4"/>
      <c r="AA13" s="4"/>
    </row>
    <row r="14" spans="1:27" ht="38.25" x14ac:dyDescent="0.2">
      <c r="A14" s="4"/>
      <c r="B14" s="3" t="s">
        <v>412</v>
      </c>
      <c r="C14" s="40" t="s">
        <v>413</v>
      </c>
      <c r="D14" s="40"/>
      <c r="E14" s="40" t="s">
        <v>414</v>
      </c>
      <c r="F14" s="40" t="s">
        <v>415</v>
      </c>
      <c r="G14" s="40"/>
      <c r="H14" s="40" t="s">
        <v>416</v>
      </c>
      <c r="I14" s="40" t="s">
        <v>8</v>
      </c>
      <c r="J14" s="40" t="s">
        <v>9</v>
      </c>
      <c r="K14" s="4">
        <v>3</v>
      </c>
      <c r="L14" s="4"/>
      <c r="M14" s="4"/>
      <c r="N14" s="4"/>
      <c r="O14" s="4"/>
      <c r="P14" s="4"/>
      <c r="Q14" s="4"/>
      <c r="R14" s="4"/>
      <c r="S14" s="4"/>
      <c r="T14" s="4"/>
      <c r="U14" s="4"/>
      <c r="V14" s="4"/>
      <c r="W14" s="4"/>
      <c r="X14" s="4"/>
      <c r="Y14" s="4"/>
      <c r="Z14" s="4"/>
      <c r="AA14" s="4"/>
    </row>
    <row r="15" spans="1:27" ht="51" x14ac:dyDescent="0.2">
      <c r="A15" s="4"/>
      <c r="B15" s="3" t="s">
        <v>417</v>
      </c>
      <c r="C15" s="40" t="s">
        <v>418</v>
      </c>
      <c r="D15" s="40"/>
      <c r="E15" s="40" t="s">
        <v>419</v>
      </c>
      <c r="F15" s="40" t="s">
        <v>420</v>
      </c>
      <c r="G15" s="40"/>
      <c r="H15" s="40" t="s">
        <v>421</v>
      </c>
      <c r="I15" s="40" t="s">
        <v>13</v>
      </c>
      <c r="J15" s="40" t="s">
        <v>9</v>
      </c>
      <c r="K15" s="4">
        <v>3</v>
      </c>
      <c r="L15" s="4"/>
      <c r="M15" s="4"/>
      <c r="N15" s="4"/>
      <c r="O15" s="4"/>
      <c r="P15" s="4"/>
      <c r="Q15" s="4"/>
      <c r="R15" s="4"/>
      <c r="S15" s="4"/>
      <c r="T15" s="4"/>
      <c r="U15" s="4"/>
      <c r="V15" s="4"/>
      <c r="W15" s="4"/>
      <c r="X15" s="4"/>
      <c r="Y15" s="4"/>
      <c r="Z15" s="4"/>
      <c r="AA15" s="4"/>
    </row>
    <row r="16" spans="1:27" ht="51" x14ac:dyDescent="0.2">
      <c r="B16" s="3" t="s">
        <v>142</v>
      </c>
      <c r="C16" s="40" t="s">
        <v>422</v>
      </c>
      <c r="D16" s="40" t="s">
        <v>46</v>
      </c>
      <c r="E16" s="40" t="s">
        <v>145</v>
      </c>
      <c r="F16" s="40" t="s">
        <v>145</v>
      </c>
      <c r="G16" s="40"/>
      <c r="H16" s="40" t="s">
        <v>423</v>
      </c>
      <c r="I16" s="40" t="s">
        <v>164</v>
      </c>
      <c r="J16" s="40" t="s">
        <v>9</v>
      </c>
      <c r="K16" s="4">
        <v>8</v>
      </c>
    </row>
    <row r="17" spans="2:11" ht="38.25" x14ac:dyDescent="0.2">
      <c r="B17" s="3" t="s">
        <v>424</v>
      </c>
      <c r="C17" s="40" t="s">
        <v>425</v>
      </c>
      <c r="D17" s="40"/>
      <c r="E17" s="40" t="s">
        <v>426</v>
      </c>
      <c r="F17" s="40" t="s">
        <v>427</v>
      </c>
      <c r="G17" s="40"/>
      <c r="H17" s="40" t="s">
        <v>428</v>
      </c>
      <c r="I17" s="40" t="s">
        <v>13</v>
      </c>
      <c r="J17" s="40" t="s">
        <v>9</v>
      </c>
      <c r="K17" s="4">
        <v>3</v>
      </c>
    </row>
    <row r="18" spans="2:11" ht="51" x14ac:dyDescent="0.2">
      <c r="B18" s="3" t="s">
        <v>429</v>
      </c>
      <c r="C18" s="40" t="s">
        <v>430</v>
      </c>
      <c r="D18" s="40"/>
      <c r="E18" s="40" t="s">
        <v>431</v>
      </c>
      <c r="F18" s="40" t="s">
        <v>432</v>
      </c>
      <c r="G18" s="40"/>
      <c r="H18" s="40" t="s">
        <v>433</v>
      </c>
      <c r="I18" s="40" t="s">
        <v>13</v>
      </c>
      <c r="J18" s="40" t="s">
        <v>9</v>
      </c>
      <c r="K18" s="4">
        <v>3</v>
      </c>
    </row>
    <row r="19" spans="2:11" ht="38.25" x14ac:dyDescent="0.2">
      <c r="B19" s="3" t="s">
        <v>434</v>
      </c>
      <c r="C19" s="40" t="s">
        <v>435</v>
      </c>
      <c r="D19" s="40"/>
      <c r="E19" s="40" t="s">
        <v>436</v>
      </c>
      <c r="F19" s="40" t="s">
        <v>437</v>
      </c>
      <c r="G19" s="40"/>
      <c r="H19" s="40" t="s">
        <v>438</v>
      </c>
      <c r="I19" s="40" t="s">
        <v>164</v>
      </c>
      <c r="J19" s="40" t="s">
        <v>9</v>
      </c>
      <c r="K19" s="4">
        <v>2</v>
      </c>
    </row>
    <row r="20" spans="2:11" ht="15.75" customHeight="1" x14ac:dyDescent="0.2"/>
    <row r="21" spans="2:11" ht="15.75" customHeight="1" x14ac:dyDescent="0.2"/>
    <row r="22" spans="2:11" ht="15.75" customHeight="1" x14ac:dyDescent="0.2"/>
    <row r="23" spans="2:11" ht="15.75" customHeight="1" x14ac:dyDescent="0.2"/>
    <row r="24" spans="2:11" ht="15.75" customHeight="1" x14ac:dyDescent="0.2"/>
    <row r="25" spans="2:11" ht="15.75" customHeight="1" x14ac:dyDescent="0.2"/>
    <row r="26" spans="2:11" ht="15.75" customHeight="1" x14ac:dyDescent="0.2"/>
    <row r="27" spans="2:11" ht="15.75" customHeight="1" x14ac:dyDescent="0.2"/>
    <row r="28" spans="2:11" ht="15.75" customHeight="1" x14ac:dyDescent="0.2"/>
    <row r="29" spans="2:11" ht="15.75" customHeight="1" x14ac:dyDescent="0.2"/>
    <row r="30" spans="2:11" ht="15.75" customHeight="1" x14ac:dyDescent="0.2"/>
    <row r="31" spans="2:11" ht="15.75" customHeight="1" x14ac:dyDescent="0.2"/>
    <row r="32" spans="2: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87C40-AE94-4E7C-B6BD-1BE7BDA9A13C}">
  <sheetPr>
    <outlinePr summaryBelow="0" summaryRight="0"/>
  </sheetPr>
  <dimension ref="A1:AA969"/>
  <sheetViews>
    <sheetView topLeftCell="A2" workbookViewId="0">
      <selection activeCell="B11" sqref="B4:K11"/>
    </sheetView>
  </sheetViews>
  <sheetFormatPr baseColWidth="10" defaultColWidth="12.7109375" defaultRowHeight="15" customHeight="1" x14ac:dyDescent="0.2"/>
  <cols>
    <col min="1" max="2" width="12.42578125" customWidth="1"/>
    <col min="3" max="4" width="18.85546875" customWidth="1"/>
    <col min="5" max="5" width="20.42578125" customWidth="1"/>
    <col min="6" max="6" width="56.140625" customWidth="1"/>
    <col min="7" max="27" width="12.42578125" customWidth="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149</v>
      </c>
      <c r="C4" s="40" t="s">
        <v>439</v>
      </c>
      <c r="D4" s="40" t="s">
        <v>46</v>
      </c>
      <c r="E4" s="40" t="s">
        <v>152</v>
      </c>
      <c r="F4" s="40" t="s">
        <v>152</v>
      </c>
      <c r="G4" s="40"/>
      <c r="H4" s="40" t="s">
        <v>440</v>
      </c>
      <c r="I4" s="40" t="s">
        <v>8</v>
      </c>
      <c r="J4" s="40" t="s">
        <v>9</v>
      </c>
      <c r="K4" s="4">
        <v>10</v>
      </c>
      <c r="L4" s="4"/>
      <c r="M4" s="4"/>
      <c r="N4" s="4"/>
      <c r="O4" s="4"/>
      <c r="P4" s="4"/>
      <c r="Q4" s="4"/>
      <c r="R4" s="4"/>
      <c r="S4" s="4"/>
      <c r="T4" s="4"/>
      <c r="U4" s="4"/>
      <c r="V4" s="4"/>
      <c r="W4" s="4"/>
      <c r="X4" s="4"/>
      <c r="Y4" s="4"/>
      <c r="Z4" s="4"/>
      <c r="AA4" s="4"/>
    </row>
    <row r="5" spans="1:27" ht="38.25" x14ac:dyDescent="0.2">
      <c r="A5" s="4"/>
      <c r="B5" s="3" t="s">
        <v>441</v>
      </c>
      <c r="C5" s="40" t="s">
        <v>442</v>
      </c>
      <c r="D5" s="40"/>
      <c r="E5" s="40" t="s">
        <v>443</v>
      </c>
      <c r="F5" s="40" t="s">
        <v>444</v>
      </c>
      <c r="G5" s="40"/>
      <c r="H5" s="40" t="s">
        <v>445</v>
      </c>
      <c r="I5" s="40" t="s">
        <v>8</v>
      </c>
      <c r="J5" s="40" t="s">
        <v>9</v>
      </c>
      <c r="K5" s="4">
        <v>3</v>
      </c>
      <c r="L5" s="4"/>
      <c r="M5" s="4"/>
      <c r="N5" s="4"/>
      <c r="O5" s="4"/>
      <c r="P5" s="4"/>
      <c r="Q5" s="4"/>
      <c r="R5" s="4"/>
      <c r="S5" s="4"/>
      <c r="T5" s="4"/>
      <c r="U5" s="4"/>
      <c r="V5" s="4"/>
      <c r="W5" s="4"/>
      <c r="X5" s="4"/>
      <c r="Y5" s="4"/>
      <c r="Z5" s="4"/>
      <c r="AA5" s="4"/>
    </row>
    <row r="6" spans="1:27" ht="51" x14ac:dyDescent="0.2">
      <c r="A6" s="4"/>
      <c r="B6" s="3" t="s">
        <v>446</v>
      </c>
      <c r="C6" s="40" t="s">
        <v>447</v>
      </c>
      <c r="D6" s="40"/>
      <c r="E6" s="40" t="s">
        <v>448</v>
      </c>
      <c r="F6" s="40" t="s">
        <v>449</v>
      </c>
      <c r="G6" s="40"/>
      <c r="H6" s="40" t="s">
        <v>450</v>
      </c>
      <c r="I6" s="40" t="s">
        <v>8</v>
      </c>
      <c r="J6" s="40" t="s">
        <v>9</v>
      </c>
      <c r="K6" s="4">
        <v>4</v>
      </c>
      <c r="L6" s="4"/>
      <c r="M6" s="4"/>
      <c r="N6" s="4"/>
      <c r="O6" s="4"/>
      <c r="P6" s="4"/>
      <c r="Q6" s="4"/>
      <c r="R6" s="4"/>
      <c r="S6" s="4"/>
      <c r="T6" s="4"/>
      <c r="U6" s="4"/>
      <c r="V6" s="4"/>
      <c r="W6" s="4"/>
      <c r="X6" s="4"/>
      <c r="Y6" s="4"/>
      <c r="Z6" s="4"/>
      <c r="AA6" s="4"/>
    </row>
    <row r="7" spans="1:27" ht="51" x14ac:dyDescent="0.2">
      <c r="A7" s="4"/>
      <c r="B7" s="3" t="s">
        <v>451</v>
      </c>
      <c r="C7" s="40" t="s">
        <v>452</v>
      </c>
      <c r="D7" s="40"/>
      <c r="E7" s="40" t="s">
        <v>453</v>
      </c>
      <c r="F7" s="40" t="s">
        <v>454</v>
      </c>
      <c r="G7" s="40"/>
      <c r="H7" s="40" t="s">
        <v>455</v>
      </c>
      <c r="I7" s="40" t="s">
        <v>13</v>
      </c>
      <c r="J7" s="40" t="s">
        <v>9</v>
      </c>
      <c r="K7" s="4">
        <v>3</v>
      </c>
      <c r="L7" s="4"/>
      <c r="M7" s="4"/>
      <c r="N7" s="4"/>
      <c r="O7" s="4"/>
      <c r="P7" s="4"/>
      <c r="Q7" s="4"/>
      <c r="R7" s="4"/>
      <c r="S7" s="4"/>
      <c r="T7" s="4"/>
      <c r="U7" s="4"/>
      <c r="V7" s="4"/>
      <c r="W7" s="4"/>
      <c r="X7" s="4"/>
      <c r="Y7" s="4"/>
      <c r="Z7" s="4"/>
      <c r="AA7" s="4"/>
    </row>
    <row r="8" spans="1:27" ht="63.75" x14ac:dyDescent="0.2">
      <c r="A8" s="4"/>
      <c r="B8" s="3" t="s">
        <v>156</v>
      </c>
      <c r="C8" s="40" t="s">
        <v>456</v>
      </c>
      <c r="D8" s="40" t="s">
        <v>46</v>
      </c>
      <c r="E8" s="40" t="s">
        <v>159</v>
      </c>
      <c r="F8" s="40" t="s">
        <v>159</v>
      </c>
      <c r="G8" s="40"/>
      <c r="H8" s="40" t="s">
        <v>161</v>
      </c>
      <c r="I8" s="40" t="s">
        <v>13</v>
      </c>
      <c r="J8" s="40" t="s">
        <v>9</v>
      </c>
      <c r="K8" s="4">
        <v>8.5</v>
      </c>
      <c r="L8" s="4"/>
      <c r="M8" s="4"/>
      <c r="N8" s="4"/>
      <c r="O8" s="4"/>
      <c r="P8" s="4"/>
      <c r="Q8" s="4"/>
      <c r="R8" s="4"/>
      <c r="S8" s="4"/>
      <c r="T8" s="4"/>
      <c r="U8" s="4"/>
      <c r="V8" s="4"/>
      <c r="W8" s="4"/>
      <c r="X8" s="4"/>
      <c r="Y8" s="4"/>
      <c r="Z8" s="4"/>
      <c r="AA8" s="4"/>
    </row>
    <row r="9" spans="1:27" ht="51" x14ac:dyDescent="0.2">
      <c r="A9" s="4"/>
      <c r="B9" s="3" t="s">
        <v>457</v>
      </c>
      <c r="C9" s="40" t="s">
        <v>458</v>
      </c>
      <c r="D9" s="40"/>
      <c r="E9" s="40" t="s">
        <v>459</v>
      </c>
      <c r="F9" s="40" t="s">
        <v>460</v>
      </c>
      <c r="G9" s="40"/>
      <c r="H9" s="40" t="s">
        <v>461</v>
      </c>
      <c r="I9" s="40" t="s">
        <v>13</v>
      </c>
      <c r="J9" s="40" t="s">
        <v>9</v>
      </c>
      <c r="K9" s="4">
        <v>3</v>
      </c>
      <c r="L9" s="4"/>
      <c r="M9" s="4"/>
      <c r="N9" s="4"/>
      <c r="O9" s="4"/>
      <c r="P9" s="4"/>
      <c r="Q9" s="4"/>
      <c r="R9" s="4"/>
      <c r="S9" s="4"/>
      <c r="T9" s="4"/>
      <c r="U9" s="4"/>
      <c r="V9" s="4"/>
      <c r="W9" s="4"/>
      <c r="X9" s="4"/>
      <c r="Y9" s="4"/>
      <c r="Z9" s="4"/>
      <c r="AA9" s="4"/>
    </row>
    <row r="10" spans="1:27" ht="51" x14ac:dyDescent="0.2">
      <c r="A10" s="4"/>
      <c r="B10" s="3" t="s">
        <v>462</v>
      </c>
      <c r="C10" s="40" t="s">
        <v>463</v>
      </c>
      <c r="D10" s="40"/>
      <c r="E10" s="40" t="s">
        <v>464</v>
      </c>
      <c r="F10" s="40" t="s">
        <v>465</v>
      </c>
      <c r="G10" s="40"/>
      <c r="H10" s="40" t="s">
        <v>466</v>
      </c>
      <c r="I10" s="40" t="s">
        <v>8</v>
      </c>
      <c r="J10" s="40" t="s">
        <v>9</v>
      </c>
      <c r="K10" s="4">
        <v>3</v>
      </c>
      <c r="L10" s="4"/>
      <c r="M10" s="4"/>
      <c r="N10" s="4"/>
      <c r="O10" s="4"/>
      <c r="P10" s="4"/>
      <c r="Q10" s="4"/>
      <c r="R10" s="4"/>
      <c r="S10" s="4"/>
      <c r="T10" s="4"/>
      <c r="U10" s="4"/>
      <c r="V10" s="4"/>
      <c r="W10" s="4"/>
      <c r="X10" s="4"/>
      <c r="Y10" s="4"/>
      <c r="Z10" s="4"/>
      <c r="AA10" s="4"/>
    </row>
    <row r="11" spans="1:27" ht="51" x14ac:dyDescent="0.2">
      <c r="A11" s="4"/>
      <c r="B11" s="3" t="s">
        <v>467</v>
      </c>
      <c r="C11" s="40" t="s">
        <v>468</v>
      </c>
      <c r="D11" s="40"/>
      <c r="E11" s="40" t="s">
        <v>469</v>
      </c>
      <c r="F11" s="40" t="s">
        <v>470</v>
      </c>
      <c r="G11" s="40"/>
      <c r="H11" s="40" t="s">
        <v>471</v>
      </c>
      <c r="I11" s="40" t="s">
        <v>13</v>
      </c>
      <c r="J11" s="40" t="s">
        <v>9</v>
      </c>
      <c r="K11" s="4">
        <v>2.5</v>
      </c>
      <c r="L11" s="4"/>
      <c r="M11" s="4"/>
      <c r="N11" s="4"/>
      <c r="O11" s="4"/>
      <c r="P11" s="4"/>
      <c r="Q11" s="4"/>
      <c r="R11" s="4"/>
      <c r="S11" s="4"/>
      <c r="T11" s="4"/>
      <c r="U11" s="4"/>
      <c r="V11" s="4"/>
      <c r="W11" s="4"/>
      <c r="X11" s="4"/>
      <c r="Y11" s="4"/>
      <c r="Z11" s="4"/>
      <c r="AA11" s="4"/>
    </row>
    <row r="12" spans="1:27" ht="15.75" customHeight="1" x14ac:dyDescent="0.2"/>
    <row r="13" spans="1:27" ht="15.75" customHeight="1" x14ac:dyDescent="0.2"/>
    <row r="14" spans="1:27" ht="15.75" customHeight="1" x14ac:dyDescent="0.2"/>
    <row r="15" spans="1:27" ht="15.75" customHeight="1" x14ac:dyDescent="0.2"/>
    <row r="16" spans="1:2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D8C1-1BFC-4360-A3DD-53CB5365033E}">
  <sheetPr>
    <outlinePr summaryBelow="0" summaryRight="0"/>
  </sheetPr>
  <dimension ref="A1:AA969"/>
  <sheetViews>
    <sheetView topLeftCell="A65" workbookViewId="0">
      <selection activeCell="M53" sqref="M53"/>
    </sheetView>
  </sheetViews>
  <sheetFormatPr baseColWidth="10" defaultColWidth="12.7109375" defaultRowHeight="15" customHeight="1" x14ac:dyDescent="0.2"/>
  <cols>
    <col min="1" max="2" width="12.42578125" style="41" customWidth="1"/>
    <col min="3" max="4" width="18.85546875" style="41" customWidth="1"/>
    <col min="5" max="5" width="20.42578125" style="41" customWidth="1"/>
    <col min="6" max="6" width="56.140625" style="41" customWidth="1"/>
    <col min="7" max="27" width="12.42578125" style="41" customWidth="1"/>
    <col min="28" max="16384" width="12.7109375" style="41"/>
  </cols>
  <sheetData>
    <row r="1" spans="1:27" ht="15.75" customHeight="1" x14ac:dyDescent="0.2"/>
    <row r="2" spans="1:27" ht="15.75" customHeight="1" x14ac:dyDescent="0.2"/>
    <row r="3" spans="1:27" ht="15.75" customHeight="1" x14ac:dyDescent="0.2">
      <c r="B3" s="5" t="s">
        <v>15</v>
      </c>
      <c r="C3" s="5" t="s">
        <v>0</v>
      </c>
      <c r="D3" s="5" t="s">
        <v>1</v>
      </c>
      <c r="E3" s="5" t="s">
        <v>16</v>
      </c>
      <c r="F3" s="5" t="s">
        <v>240</v>
      </c>
      <c r="G3" s="5" t="s">
        <v>241</v>
      </c>
      <c r="H3" s="5" t="s">
        <v>242</v>
      </c>
      <c r="I3" s="5" t="s">
        <v>19</v>
      </c>
      <c r="J3" s="5" t="s">
        <v>20</v>
      </c>
      <c r="K3" s="5" t="s">
        <v>239</v>
      </c>
    </row>
    <row r="4" spans="1:27" ht="63.75" x14ac:dyDescent="0.2">
      <c r="A4" s="4"/>
      <c r="B4" s="3" t="s">
        <v>7</v>
      </c>
      <c r="C4" s="40" t="s">
        <v>66</v>
      </c>
      <c r="D4" s="40" t="s">
        <v>46</v>
      </c>
      <c r="E4" s="40" t="s">
        <v>62</v>
      </c>
      <c r="F4" s="40" t="s">
        <v>62</v>
      </c>
      <c r="G4" s="40" t="s">
        <v>237</v>
      </c>
      <c r="H4" s="40" t="s">
        <v>65</v>
      </c>
      <c r="I4" s="40" t="s">
        <v>164</v>
      </c>
      <c r="J4" s="40" t="s">
        <v>9</v>
      </c>
      <c r="K4" s="4">
        <f>SUM(K5:K7)</f>
        <v>14</v>
      </c>
      <c r="L4" s="4"/>
      <c r="M4" s="4"/>
      <c r="N4" s="4"/>
      <c r="O4" s="4"/>
      <c r="P4" s="4"/>
      <c r="Q4" s="4"/>
      <c r="R4" s="4"/>
      <c r="S4" s="4"/>
      <c r="T4" s="4"/>
      <c r="U4" s="4"/>
      <c r="V4" s="4"/>
      <c r="W4" s="4"/>
      <c r="X4" s="4"/>
      <c r="Y4" s="4"/>
      <c r="Z4" s="4"/>
      <c r="AA4" s="4"/>
    </row>
    <row r="5" spans="1:27" ht="114.75" x14ac:dyDescent="0.2">
      <c r="A5" s="4"/>
      <c r="B5" s="3" t="s">
        <v>182</v>
      </c>
      <c r="C5" s="40" t="s">
        <v>183</v>
      </c>
      <c r="D5" s="40"/>
      <c r="E5" s="40" t="s">
        <v>188</v>
      </c>
      <c r="F5" s="40" t="s">
        <v>189</v>
      </c>
      <c r="G5" s="40" t="s">
        <v>117</v>
      </c>
      <c r="H5" s="40" t="s">
        <v>190</v>
      </c>
      <c r="I5" s="40" t="s">
        <v>8</v>
      </c>
      <c r="J5" s="40" t="s">
        <v>9</v>
      </c>
      <c r="K5" s="4">
        <v>5</v>
      </c>
      <c r="L5" s="4"/>
      <c r="M5" s="4"/>
      <c r="N5" s="4"/>
      <c r="O5" s="4"/>
      <c r="P5" s="4"/>
      <c r="Q5" s="4"/>
      <c r="R5" s="4"/>
      <c r="S5" s="4"/>
      <c r="T5" s="4"/>
      <c r="U5" s="4"/>
      <c r="V5" s="4"/>
      <c r="W5" s="4"/>
      <c r="X5" s="4"/>
      <c r="Y5" s="4"/>
      <c r="Z5" s="4"/>
      <c r="AA5" s="4"/>
    </row>
    <row r="6" spans="1:27" ht="63.75" x14ac:dyDescent="0.2">
      <c r="A6" s="4"/>
      <c r="B6" s="3" t="s">
        <v>186</v>
      </c>
      <c r="C6" s="40" t="s">
        <v>184</v>
      </c>
      <c r="D6" s="40"/>
      <c r="E6" s="40" t="s">
        <v>191</v>
      </c>
      <c r="F6" s="40" t="s">
        <v>192</v>
      </c>
      <c r="G6" s="40" t="s">
        <v>63</v>
      </c>
      <c r="H6" s="40" t="s">
        <v>193</v>
      </c>
      <c r="I6" s="40" t="s">
        <v>8</v>
      </c>
      <c r="J6" s="40" t="s">
        <v>9</v>
      </c>
      <c r="K6" s="4">
        <v>4</v>
      </c>
      <c r="L6" s="4"/>
      <c r="M6" s="4"/>
      <c r="N6" s="4"/>
      <c r="O6" s="4"/>
      <c r="P6" s="4"/>
      <c r="Q6" s="4"/>
      <c r="R6" s="4"/>
      <c r="S6" s="4"/>
      <c r="T6" s="4"/>
      <c r="U6" s="4"/>
      <c r="V6" s="4"/>
      <c r="W6" s="4"/>
      <c r="X6" s="4"/>
      <c r="Y6" s="4"/>
      <c r="Z6" s="4"/>
      <c r="AA6" s="4"/>
    </row>
    <row r="7" spans="1:27" ht="38.25" x14ac:dyDescent="0.2">
      <c r="A7" s="4"/>
      <c r="B7" s="3" t="s">
        <v>187</v>
      </c>
      <c r="C7" s="40" t="s">
        <v>185</v>
      </c>
      <c r="D7" s="40"/>
      <c r="E7" s="40" t="s">
        <v>194</v>
      </c>
      <c r="F7" s="40" t="s">
        <v>195</v>
      </c>
      <c r="G7" s="40" t="s">
        <v>63</v>
      </c>
      <c r="H7" s="40" t="s">
        <v>196</v>
      </c>
      <c r="I7" s="40" t="s">
        <v>8</v>
      </c>
      <c r="J7" s="40" t="s">
        <v>9</v>
      </c>
      <c r="K7" s="4">
        <v>5</v>
      </c>
      <c r="L7" s="4"/>
      <c r="M7" s="4"/>
      <c r="N7" s="4"/>
      <c r="O7" s="4"/>
      <c r="P7" s="4"/>
      <c r="Q7" s="4"/>
      <c r="R7" s="4"/>
      <c r="S7" s="4"/>
      <c r="T7" s="4"/>
      <c r="U7" s="4"/>
      <c r="V7" s="4"/>
      <c r="W7" s="4"/>
      <c r="X7" s="4"/>
      <c r="Y7" s="4"/>
      <c r="Z7" s="4"/>
      <c r="AA7" s="4"/>
    </row>
    <row r="8" spans="1:27" ht="76.5" x14ac:dyDescent="0.2">
      <c r="A8" s="4"/>
      <c r="B8" s="3" t="s">
        <v>10</v>
      </c>
      <c r="C8" s="40" t="s">
        <v>59</v>
      </c>
      <c r="D8" s="40" t="s">
        <v>46</v>
      </c>
      <c r="E8" s="40" t="s">
        <v>55</v>
      </c>
      <c r="F8" s="40" t="s">
        <v>55</v>
      </c>
      <c r="G8" s="40" t="s">
        <v>56</v>
      </c>
      <c r="H8" s="40" t="s">
        <v>58</v>
      </c>
      <c r="I8" s="40" t="s">
        <v>8</v>
      </c>
      <c r="J8" s="40" t="s">
        <v>9</v>
      </c>
      <c r="K8" s="4">
        <f>SUM(K9:K12)</f>
        <v>10.5</v>
      </c>
      <c r="L8" s="4"/>
      <c r="M8" s="4"/>
      <c r="N8" s="4"/>
      <c r="O8" s="4"/>
      <c r="P8" s="4"/>
      <c r="Q8" s="4"/>
      <c r="R8" s="4"/>
      <c r="S8" s="4"/>
      <c r="T8" s="4"/>
      <c r="U8" s="4"/>
      <c r="V8" s="4"/>
      <c r="W8" s="4"/>
      <c r="X8" s="4"/>
      <c r="Y8" s="4"/>
      <c r="Z8" s="4"/>
      <c r="AA8" s="4"/>
    </row>
    <row r="9" spans="1:27" ht="38.25" x14ac:dyDescent="0.2">
      <c r="A9" s="4"/>
      <c r="B9" s="3" t="s">
        <v>201</v>
      </c>
      <c r="C9" s="40" t="s">
        <v>197</v>
      </c>
      <c r="D9" s="40"/>
      <c r="E9" s="40" t="s">
        <v>205</v>
      </c>
      <c r="F9" s="40" t="s">
        <v>209</v>
      </c>
      <c r="G9" s="40" t="s">
        <v>56</v>
      </c>
      <c r="H9" s="40" t="s">
        <v>213</v>
      </c>
      <c r="I9" s="40" t="s">
        <v>8</v>
      </c>
      <c r="J9" s="40" t="s">
        <v>9</v>
      </c>
      <c r="K9" s="4">
        <v>2</v>
      </c>
      <c r="L9" s="4"/>
      <c r="M9" s="4"/>
      <c r="N9" s="4"/>
      <c r="O9" s="4"/>
      <c r="P9" s="4"/>
      <c r="Q9" s="4"/>
      <c r="R9" s="4"/>
      <c r="S9" s="4"/>
      <c r="T9" s="4"/>
      <c r="U9" s="4"/>
      <c r="V9" s="4"/>
      <c r="W9" s="4"/>
      <c r="X9" s="4"/>
      <c r="Y9" s="4"/>
      <c r="Z9" s="4"/>
      <c r="AA9" s="4"/>
    </row>
    <row r="10" spans="1:27" ht="38.25" x14ac:dyDescent="0.2">
      <c r="A10" s="4"/>
      <c r="B10" s="3" t="s">
        <v>202</v>
      </c>
      <c r="C10" s="40" t="s">
        <v>198</v>
      </c>
      <c r="D10" s="40"/>
      <c r="E10" s="40" t="s">
        <v>206</v>
      </c>
      <c r="F10" s="40" t="s">
        <v>210</v>
      </c>
      <c r="G10" s="40" t="s">
        <v>56</v>
      </c>
      <c r="H10" s="40" t="s">
        <v>214</v>
      </c>
      <c r="I10" s="40" t="s">
        <v>8</v>
      </c>
      <c r="J10" s="40" t="s">
        <v>9</v>
      </c>
      <c r="K10" s="4">
        <v>3.5</v>
      </c>
      <c r="L10" s="4"/>
      <c r="M10" s="4"/>
      <c r="N10" s="4"/>
      <c r="O10" s="4"/>
      <c r="P10" s="4"/>
      <c r="Q10" s="4"/>
      <c r="R10" s="4"/>
      <c r="S10" s="4"/>
      <c r="T10" s="4"/>
      <c r="U10" s="4"/>
      <c r="V10" s="4"/>
      <c r="W10" s="4"/>
      <c r="X10" s="4"/>
      <c r="Y10" s="4"/>
      <c r="Z10" s="4"/>
      <c r="AA10" s="4"/>
    </row>
    <row r="11" spans="1:27" ht="51" x14ac:dyDescent="0.2">
      <c r="A11" s="4"/>
      <c r="B11" s="3" t="s">
        <v>203</v>
      </c>
      <c r="C11" s="40" t="s">
        <v>199</v>
      </c>
      <c r="D11" s="40"/>
      <c r="E11" s="40" t="s">
        <v>207</v>
      </c>
      <c r="F11" s="40" t="s">
        <v>211</v>
      </c>
      <c r="G11" s="40" t="s">
        <v>56</v>
      </c>
      <c r="H11" s="40" t="s">
        <v>215</v>
      </c>
      <c r="I11" s="40" t="s">
        <v>8</v>
      </c>
      <c r="J11" s="40" t="s">
        <v>9</v>
      </c>
      <c r="K11" s="4">
        <v>2.5</v>
      </c>
      <c r="L11" s="4"/>
      <c r="M11" s="4"/>
      <c r="N11" s="4"/>
      <c r="O11" s="4"/>
      <c r="P11" s="4"/>
      <c r="Q11" s="4"/>
      <c r="R11" s="4"/>
      <c r="S11" s="4"/>
      <c r="T11" s="4"/>
      <c r="U11" s="4"/>
      <c r="V11" s="4"/>
      <c r="W11" s="4"/>
      <c r="X11" s="4"/>
      <c r="Y11" s="4"/>
      <c r="Z11" s="4"/>
      <c r="AA11" s="4"/>
    </row>
    <row r="12" spans="1:27" ht="38.25" x14ac:dyDescent="0.2">
      <c r="B12" s="3" t="s">
        <v>204</v>
      </c>
      <c r="C12" s="40" t="s">
        <v>200</v>
      </c>
      <c r="D12" s="40"/>
      <c r="E12" s="40" t="s">
        <v>208</v>
      </c>
      <c r="F12" s="40" t="s">
        <v>212</v>
      </c>
      <c r="G12" s="40" t="s">
        <v>56</v>
      </c>
      <c r="H12" s="40" t="s">
        <v>216</v>
      </c>
      <c r="I12" s="40" t="s">
        <v>8</v>
      </c>
      <c r="J12" s="40" t="s">
        <v>9</v>
      </c>
      <c r="K12" s="4">
        <v>2.5</v>
      </c>
    </row>
    <row r="13" spans="1:27" ht="76.5" x14ac:dyDescent="0.2">
      <c r="B13" s="3" t="s">
        <v>11</v>
      </c>
      <c r="C13" s="40" t="s">
        <v>52</v>
      </c>
      <c r="D13" s="40" t="s">
        <v>46</v>
      </c>
      <c r="E13" s="40" t="s">
        <v>47</v>
      </c>
      <c r="F13" s="40" t="s">
        <v>47</v>
      </c>
      <c r="G13" s="40" t="s">
        <v>48</v>
      </c>
      <c r="H13" s="40" t="s">
        <v>51</v>
      </c>
      <c r="I13" s="40" t="s">
        <v>8</v>
      </c>
      <c r="J13" s="40" t="s">
        <v>9</v>
      </c>
      <c r="K13" s="41">
        <f>SUM(K14:K17)</f>
        <v>10.5</v>
      </c>
    </row>
    <row r="14" spans="1:27" ht="38.25" x14ac:dyDescent="0.2">
      <c r="B14" s="3" t="s">
        <v>217</v>
      </c>
      <c r="C14" s="40" t="s">
        <v>221</v>
      </c>
      <c r="D14" s="40"/>
      <c r="E14" s="40" t="s">
        <v>225</v>
      </c>
      <c r="F14" s="40" t="s">
        <v>229</v>
      </c>
      <c r="G14" s="40" t="s">
        <v>48</v>
      </c>
      <c r="H14" s="40" t="s">
        <v>233</v>
      </c>
      <c r="I14" s="40" t="s">
        <v>8</v>
      </c>
      <c r="J14" s="40" t="s">
        <v>9</v>
      </c>
      <c r="K14" s="4">
        <v>3.5</v>
      </c>
    </row>
    <row r="15" spans="1:27" ht="25.5" x14ac:dyDescent="0.2">
      <c r="B15" s="3" t="s">
        <v>218</v>
      </c>
      <c r="C15" s="40" t="s">
        <v>222</v>
      </c>
      <c r="D15" s="40"/>
      <c r="E15" s="40" t="s">
        <v>226</v>
      </c>
      <c r="F15" s="40" t="s">
        <v>230</v>
      </c>
      <c r="G15" s="40" t="s">
        <v>48</v>
      </c>
      <c r="H15" s="40" t="s">
        <v>234</v>
      </c>
      <c r="I15" s="40" t="s">
        <v>8</v>
      </c>
      <c r="J15" s="40" t="s">
        <v>9</v>
      </c>
      <c r="K15" s="4">
        <v>2</v>
      </c>
    </row>
    <row r="16" spans="1:27" ht="38.25" x14ac:dyDescent="0.2">
      <c r="B16" s="3" t="s">
        <v>219</v>
      </c>
      <c r="C16" s="40" t="s">
        <v>223</v>
      </c>
      <c r="D16" s="40"/>
      <c r="E16" s="40" t="s">
        <v>227</v>
      </c>
      <c r="F16" s="40" t="s">
        <v>231</v>
      </c>
      <c r="G16" s="40" t="s">
        <v>48</v>
      </c>
      <c r="H16" s="40" t="s">
        <v>235</v>
      </c>
      <c r="I16" s="40" t="s">
        <v>8</v>
      </c>
      <c r="J16" s="40" t="s">
        <v>9</v>
      </c>
      <c r="K16" s="4">
        <v>3</v>
      </c>
    </row>
    <row r="17" spans="2:11" ht="38.25" x14ac:dyDescent="0.2">
      <c r="B17" s="3" t="s">
        <v>220</v>
      </c>
      <c r="C17" s="40" t="s">
        <v>224</v>
      </c>
      <c r="D17" s="40"/>
      <c r="E17" s="40" t="s">
        <v>228</v>
      </c>
      <c r="F17" s="40" t="s">
        <v>232</v>
      </c>
      <c r="G17" s="40" t="s">
        <v>48</v>
      </c>
      <c r="H17" s="40" t="s">
        <v>236</v>
      </c>
      <c r="I17" s="40" t="s">
        <v>8</v>
      </c>
      <c r="J17" s="40" t="s">
        <v>9</v>
      </c>
      <c r="K17" s="4">
        <v>2</v>
      </c>
    </row>
    <row r="18" spans="2:11" ht="51" x14ac:dyDescent="0.2">
      <c r="B18" s="3" t="s">
        <v>12</v>
      </c>
      <c r="C18" s="40" t="s">
        <v>72</v>
      </c>
      <c r="D18" s="40" t="s">
        <v>46</v>
      </c>
      <c r="E18" s="40" t="s">
        <v>69</v>
      </c>
      <c r="F18" s="40" t="s">
        <v>69</v>
      </c>
      <c r="G18" s="40"/>
      <c r="H18" s="40" t="s">
        <v>243</v>
      </c>
      <c r="I18" s="40" t="s">
        <v>8</v>
      </c>
      <c r="J18" s="40" t="s">
        <v>9</v>
      </c>
      <c r="K18" s="4">
        <v>7</v>
      </c>
    </row>
    <row r="19" spans="2:11" ht="51" x14ac:dyDescent="0.2">
      <c r="B19" s="3" t="s">
        <v>244</v>
      </c>
      <c r="C19" s="40" t="s">
        <v>245</v>
      </c>
      <c r="D19" s="40"/>
      <c r="E19" s="40" t="s">
        <v>246</v>
      </c>
      <c r="F19" s="40" t="s">
        <v>247</v>
      </c>
      <c r="G19" s="40"/>
      <c r="H19" s="40" t="s">
        <v>248</v>
      </c>
      <c r="I19" s="40" t="s">
        <v>8</v>
      </c>
      <c r="J19" s="40" t="s">
        <v>9</v>
      </c>
      <c r="K19" s="4">
        <v>2</v>
      </c>
    </row>
    <row r="20" spans="2:11" ht="38.25" x14ac:dyDescent="0.2">
      <c r="B20" s="3" t="s">
        <v>249</v>
      </c>
      <c r="C20" s="40" t="s">
        <v>250</v>
      </c>
      <c r="D20" s="40"/>
      <c r="E20" s="40" t="s">
        <v>251</v>
      </c>
      <c r="F20" s="40" t="s">
        <v>252</v>
      </c>
      <c r="G20" s="40"/>
      <c r="H20" s="40" t="s">
        <v>253</v>
      </c>
      <c r="I20" s="40" t="s">
        <v>8</v>
      </c>
      <c r="J20" s="40" t="s">
        <v>9</v>
      </c>
      <c r="K20" s="4">
        <v>2.5</v>
      </c>
    </row>
    <row r="21" spans="2:11" ht="38.25" x14ac:dyDescent="0.2">
      <c r="B21" s="3" t="s">
        <v>254</v>
      </c>
      <c r="C21" s="40" t="s">
        <v>255</v>
      </c>
      <c r="D21" s="40"/>
      <c r="E21" s="40" t="s">
        <v>256</v>
      </c>
      <c r="F21" s="40" t="s">
        <v>257</v>
      </c>
      <c r="G21" s="40"/>
      <c r="H21" s="40" t="s">
        <v>258</v>
      </c>
      <c r="I21" s="40" t="s">
        <v>8</v>
      </c>
      <c r="J21" s="40" t="s">
        <v>9</v>
      </c>
      <c r="K21" s="4">
        <v>2.5</v>
      </c>
    </row>
    <row r="22" spans="2:11" ht="63.75" x14ac:dyDescent="0.2">
      <c r="B22" s="3" t="s">
        <v>14</v>
      </c>
      <c r="C22" s="40" t="s">
        <v>105</v>
      </c>
      <c r="D22" s="40" t="s">
        <v>46</v>
      </c>
      <c r="E22" s="40" t="s">
        <v>102</v>
      </c>
      <c r="F22" s="40" t="s">
        <v>102</v>
      </c>
      <c r="G22" s="40"/>
      <c r="H22" s="40" t="s">
        <v>104</v>
      </c>
      <c r="I22" s="40" t="s">
        <v>8</v>
      </c>
      <c r="J22" s="40" t="s">
        <v>9</v>
      </c>
      <c r="K22" s="4">
        <v>12</v>
      </c>
    </row>
    <row r="23" spans="2:11" ht="38.25" x14ac:dyDescent="0.2">
      <c r="B23" s="3" t="s">
        <v>259</v>
      </c>
      <c r="C23" s="40" t="s">
        <v>260</v>
      </c>
      <c r="D23" s="40"/>
      <c r="E23" s="40" t="s">
        <v>261</v>
      </c>
      <c r="F23" s="40" t="s">
        <v>262</v>
      </c>
      <c r="G23" s="40"/>
      <c r="H23" s="40" t="s">
        <v>263</v>
      </c>
      <c r="I23" s="40" t="s">
        <v>8</v>
      </c>
      <c r="J23" s="40" t="s">
        <v>9</v>
      </c>
      <c r="K23" s="4">
        <v>3</v>
      </c>
    </row>
    <row r="24" spans="2:11" ht="38.25" x14ac:dyDescent="0.2">
      <c r="B24" s="3" t="s">
        <v>264</v>
      </c>
      <c r="C24" s="40" t="s">
        <v>265</v>
      </c>
      <c r="D24" s="40"/>
      <c r="E24" s="40" t="s">
        <v>266</v>
      </c>
      <c r="F24" s="40" t="s">
        <v>267</v>
      </c>
      <c r="G24" s="40"/>
      <c r="H24" s="40" t="s">
        <v>268</v>
      </c>
      <c r="I24" s="40" t="s">
        <v>8</v>
      </c>
      <c r="J24" s="40" t="s">
        <v>9</v>
      </c>
      <c r="K24" s="4">
        <v>4</v>
      </c>
    </row>
    <row r="25" spans="2:11" ht="51" x14ac:dyDescent="0.2">
      <c r="B25" s="3" t="s">
        <v>269</v>
      </c>
      <c r="C25" s="40" t="s">
        <v>270</v>
      </c>
      <c r="D25" s="40"/>
      <c r="E25" s="40" t="s">
        <v>271</v>
      </c>
      <c r="F25" s="40" t="s">
        <v>272</v>
      </c>
      <c r="G25" s="40"/>
      <c r="H25" s="40" t="s">
        <v>273</v>
      </c>
      <c r="I25" s="40" t="s">
        <v>8</v>
      </c>
      <c r="J25" s="40" t="s">
        <v>9</v>
      </c>
      <c r="K25" s="4">
        <v>2</v>
      </c>
    </row>
    <row r="26" spans="2:11" ht="38.25" x14ac:dyDescent="0.2">
      <c r="B26" s="3" t="s">
        <v>274</v>
      </c>
      <c r="C26" s="40" t="s">
        <v>275</v>
      </c>
      <c r="D26" s="40"/>
      <c r="E26" s="40" t="s">
        <v>276</v>
      </c>
      <c r="F26" s="40" t="s">
        <v>277</v>
      </c>
      <c r="G26" s="40"/>
      <c r="H26" s="40" t="s">
        <v>278</v>
      </c>
      <c r="I26" s="40" t="s">
        <v>8</v>
      </c>
      <c r="J26" s="40" t="s">
        <v>9</v>
      </c>
      <c r="K26" s="4">
        <v>3</v>
      </c>
    </row>
    <row r="27" spans="2:11" ht="51" x14ac:dyDescent="0.2">
      <c r="B27" s="3" t="s">
        <v>79</v>
      </c>
      <c r="C27" s="40" t="s">
        <v>120</v>
      </c>
      <c r="D27" s="40" t="s">
        <v>46</v>
      </c>
      <c r="E27" s="40" t="s">
        <v>116</v>
      </c>
      <c r="F27" s="40" t="s">
        <v>116</v>
      </c>
      <c r="G27" s="40"/>
      <c r="H27" s="40" t="s">
        <v>119</v>
      </c>
      <c r="I27" s="40" t="s">
        <v>13</v>
      </c>
      <c r="J27" s="40" t="s">
        <v>9</v>
      </c>
      <c r="K27" s="41">
        <v>8</v>
      </c>
    </row>
    <row r="28" spans="2:11" ht="38.25" x14ac:dyDescent="0.2">
      <c r="B28" s="3" t="s">
        <v>279</v>
      </c>
      <c r="C28" s="40" t="s">
        <v>280</v>
      </c>
      <c r="D28" s="40"/>
      <c r="E28" s="40" t="s">
        <v>281</v>
      </c>
      <c r="F28" s="40" t="s">
        <v>282</v>
      </c>
      <c r="G28" s="40"/>
      <c r="H28" s="40" t="s">
        <v>283</v>
      </c>
      <c r="I28" s="40" t="s">
        <v>8</v>
      </c>
      <c r="J28" s="40" t="s">
        <v>9</v>
      </c>
      <c r="K28" s="4">
        <v>3</v>
      </c>
    </row>
    <row r="29" spans="2:11" ht="38.25" x14ac:dyDescent="0.2">
      <c r="B29" s="3" t="s">
        <v>284</v>
      </c>
      <c r="C29" s="40" t="s">
        <v>285</v>
      </c>
      <c r="D29" s="40"/>
      <c r="E29" s="40" t="s">
        <v>286</v>
      </c>
      <c r="F29" s="40" t="s">
        <v>287</v>
      </c>
      <c r="G29" s="40"/>
      <c r="H29" s="40" t="s">
        <v>288</v>
      </c>
      <c r="I29" s="40" t="s">
        <v>8</v>
      </c>
      <c r="J29" s="40" t="s">
        <v>9</v>
      </c>
      <c r="K29" s="4">
        <v>3</v>
      </c>
    </row>
    <row r="30" spans="2:11" ht="38.25" x14ac:dyDescent="0.2">
      <c r="B30" s="3" t="s">
        <v>289</v>
      </c>
      <c r="C30" s="40" t="s">
        <v>290</v>
      </c>
      <c r="D30" s="40"/>
      <c r="E30" s="40" t="s">
        <v>291</v>
      </c>
      <c r="F30" s="40" t="s">
        <v>292</v>
      </c>
      <c r="G30" s="40"/>
      <c r="H30" s="40" t="s">
        <v>293</v>
      </c>
      <c r="I30" s="40" t="s">
        <v>8</v>
      </c>
      <c r="J30" s="40" t="s">
        <v>9</v>
      </c>
      <c r="K30" s="4">
        <v>2</v>
      </c>
    </row>
    <row r="31" spans="2:11" ht="63.75" x14ac:dyDescent="0.2">
      <c r="B31" s="3" t="s">
        <v>86</v>
      </c>
      <c r="C31" s="40" t="s">
        <v>127</v>
      </c>
      <c r="D31" s="40" t="s">
        <v>46</v>
      </c>
      <c r="E31" s="40" t="s">
        <v>124</v>
      </c>
      <c r="F31" s="40" t="s">
        <v>124</v>
      </c>
      <c r="G31" s="40"/>
      <c r="H31" s="40" t="s">
        <v>126</v>
      </c>
      <c r="I31" s="40" t="s">
        <v>8</v>
      </c>
      <c r="J31" s="40" t="s">
        <v>9</v>
      </c>
      <c r="K31" s="4">
        <v>7.5</v>
      </c>
    </row>
    <row r="32" spans="2:11" ht="38.25" x14ac:dyDescent="0.2">
      <c r="B32" s="3" t="s">
        <v>294</v>
      </c>
      <c r="C32" s="40" t="s">
        <v>295</v>
      </c>
      <c r="D32" s="40"/>
      <c r="E32" s="40" t="s">
        <v>296</v>
      </c>
      <c r="F32" s="40" t="s">
        <v>297</v>
      </c>
      <c r="G32" s="40"/>
      <c r="H32" s="40" t="s">
        <v>298</v>
      </c>
      <c r="I32" s="40" t="s">
        <v>8</v>
      </c>
      <c r="J32" s="40" t="s">
        <v>9</v>
      </c>
      <c r="K32" s="4">
        <v>2.5</v>
      </c>
    </row>
    <row r="33" spans="2:11" ht="38.25" x14ac:dyDescent="0.2">
      <c r="B33" s="3" t="s">
        <v>299</v>
      </c>
      <c r="C33" s="40" t="s">
        <v>300</v>
      </c>
      <c r="D33" s="40"/>
      <c r="E33" s="40" t="s">
        <v>301</v>
      </c>
      <c r="F33" s="40" t="s">
        <v>302</v>
      </c>
      <c r="G33" s="40"/>
      <c r="H33" s="40" t="s">
        <v>303</v>
      </c>
      <c r="I33" s="40" t="s">
        <v>8</v>
      </c>
      <c r="J33" s="40" t="s">
        <v>9</v>
      </c>
      <c r="K33" s="4">
        <v>3</v>
      </c>
    </row>
    <row r="34" spans="2:11" ht="38.25" x14ac:dyDescent="0.2">
      <c r="B34" s="3" t="s">
        <v>304</v>
      </c>
      <c r="C34" s="40" t="s">
        <v>305</v>
      </c>
      <c r="D34" s="40"/>
      <c r="E34" s="40" t="s">
        <v>306</v>
      </c>
      <c r="F34" s="40" t="s">
        <v>307</v>
      </c>
      <c r="G34" s="40"/>
      <c r="H34" s="40" t="s">
        <v>308</v>
      </c>
      <c r="I34" s="40" t="s">
        <v>8</v>
      </c>
      <c r="J34" s="40" t="s">
        <v>9</v>
      </c>
      <c r="K34" s="4">
        <v>2</v>
      </c>
    </row>
    <row r="35" spans="2:11" ht="51" x14ac:dyDescent="0.2">
      <c r="B35" s="3" t="s">
        <v>92</v>
      </c>
      <c r="C35" s="40" t="s">
        <v>91</v>
      </c>
      <c r="D35" s="40" t="s">
        <v>46</v>
      </c>
      <c r="E35" s="40" t="s">
        <v>89</v>
      </c>
      <c r="F35" s="40" t="s">
        <v>89</v>
      </c>
      <c r="G35" s="40"/>
      <c r="H35" s="40" t="s">
        <v>309</v>
      </c>
      <c r="I35" s="40" t="s">
        <v>13</v>
      </c>
      <c r="J35" s="40" t="s">
        <v>9</v>
      </c>
      <c r="K35" s="4">
        <v>7</v>
      </c>
    </row>
    <row r="36" spans="2:11" ht="38.25" x14ac:dyDescent="0.2">
      <c r="B36" s="3" t="s">
        <v>310</v>
      </c>
      <c r="C36" s="40" t="s">
        <v>311</v>
      </c>
      <c r="D36" s="40"/>
      <c r="E36" s="40" t="s">
        <v>312</v>
      </c>
      <c r="F36" s="40" t="s">
        <v>313</v>
      </c>
      <c r="G36" s="40"/>
      <c r="H36" s="40" t="s">
        <v>314</v>
      </c>
      <c r="I36" s="42" t="s">
        <v>13</v>
      </c>
      <c r="J36" s="40" t="s">
        <v>9</v>
      </c>
      <c r="K36" s="4">
        <v>2.5</v>
      </c>
    </row>
    <row r="37" spans="2:11" ht="38.25" x14ac:dyDescent="0.2">
      <c r="B37" s="3" t="s">
        <v>315</v>
      </c>
      <c r="C37" s="40" t="s">
        <v>316</v>
      </c>
      <c r="D37" s="40"/>
      <c r="E37" s="40" t="s">
        <v>317</v>
      </c>
      <c r="F37" s="40" t="s">
        <v>318</v>
      </c>
      <c r="G37" s="40"/>
      <c r="H37" s="40" t="s">
        <v>319</v>
      </c>
      <c r="I37" s="40" t="s">
        <v>13</v>
      </c>
      <c r="J37" s="40" t="s">
        <v>9</v>
      </c>
      <c r="K37" s="4">
        <v>2.5</v>
      </c>
    </row>
    <row r="38" spans="2:11" ht="51" x14ac:dyDescent="0.2">
      <c r="B38" s="3" t="s">
        <v>320</v>
      </c>
      <c r="C38" s="40" t="s">
        <v>321</v>
      </c>
      <c r="D38" s="40"/>
      <c r="E38" s="40" t="s">
        <v>322</v>
      </c>
      <c r="F38" s="40" t="s">
        <v>323</v>
      </c>
      <c r="G38" s="40"/>
      <c r="H38" s="40" t="s">
        <v>324</v>
      </c>
      <c r="I38" s="40" t="s">
        <v>13</v>
      </c>
      <c r="J38" s="40" t="s">
        <v>9</v>
      </c>
      <c r="K38" s="4">
        <v>2</v>
      </c>
    </row>
    <row r="39" spans="2:11" ht="38.25" x14ac:dyDescent="0.2">
      <c r="B39" s="3" t="s">
        <v>99</v>
      </c>
      <c r="C39" s="40" t="s">
        <v>78</v>
      </c>
      <c r="D39" s="40" t="s">
        <v>46</v>
      </c>
      <c r="E39" s="40" t="s">
        <v>325</v>
      </c>
      <c r="F39" s="40" t="s">
        <v>326</v>
      </c>
      <c r="G39" s="40"/>
      <c r="H39" s="40" t="s">
        <v>77</v>
      </c>
      <c r="I39" s="40" t="s">
        <v>8</v>
      </c>
      <c r="J39" s="40" t="s">
        <v>9</v>
      </c>
      <c r="K39" s="4">
        <v>9</v>
      </c>
    </row>
    <row r="40" spans="2:11" ht="38.25" x14ac:dyDescent="0.2">
      <c r="B40" s="3" t="s">
        <v>327</v>
      </c>
      <c r="C40" s="40" t="s">
        <v>328</v>
      </c>
      <c r="D40" s="40"/>
      <c r="E40" s="40" t="s">
        <v>329</v>
      </c>
      <c r="F40" s="40" t="s">
        <v>330</v>
      </c>
      <c r="G40" s="40"/>
      <c r="H40" s="40" t="s">
        <v>331</v>
      </c>
      <c r="I40" s="40" t="s">
        <v>8</v>
      </c>
      <c r="J40" s="40" t="s">
        <v>9</v>
      </c>
      <c r="K40" s="4">
        <v>3</v>
      </c>
    </row>
    <row r="41" spans="2:11" ht="38.25" x14ac:dyDescent="0.2">
      <c r="B41" s="3" t="s">
        <v>332</v>
      </c>
      <c r="C41" s="40" t="s">
        <v>333</v>
      </c>
      <c r="D41" s="40"/>
      <c r="E41" s="40" t="s">
        <v>334</v>
      </c>
      <c r="F41" s="40" t="s">
        <v>335</v>
      </c>
      <c r="G41" s="40"/>
      <c r="H41" s="40" t="s">
        <v>336</v>
      </c>
      <c r="I41" s="40" t="s">
        <v>8</v>
      </c>
      <c r="J41" s="40" t="s">
        <v>9</v>
      </c>
      <c r="K41" s="4">
        <v>3</v>
      </c>
    </row>
    <row r="42" spans="2:11" ht="38.25" x14ac:dyDescent="0.2">
      <c r="B42" s="3" t="s">
        <v>337</v>
      </c>
      <c r="C42" s="40" t="s">
        <v>338</v>
      </c>
      <c r="D42" s="40"/>
      <c r="E42" s="40" t="s">
        <v>339</v>
      </c>
      <c r="F42" s="40" t="s">
        <v>340</v>
      </c>
      <c r="G42" s="40"/>
      <c r="H42" s="40" t="s">
        <v>341</v>
      </c>
      <c r="I42" s="40" t="s">
        <v>8</v>
      </c>
      <c r="J42" s="40" t="s">
        <v>9</v>
      </c>
      <c r="K42" s="4">
        <v>3</v>
      </c>
    </row>
    <row r="43" spans="2:11" ht="38.25" x14ac:dyDescent="0.2">
      <c r="B43" s="3" t="s">
        <v>106</v>
      </c>
      <c r="C43" s="40" t="s">
        <v>85</v>
      </c>
      <c r="D43" s="40" t="s">
        <v>46</v>
      </c>
      <c r="E43" s="40" t="s">
        <v>342</v>
      </c>
      <c r="F43" s="40" t="s">
        <v>82</v>
      </c>
      <c r="G43" s="40"/>
      <c r="H43" s="40"/>
      <c r="I43" s="40" t="s">
        <v>8</v>
      </c>
      <c r="J43" s="40" t="s">
        <v>9</v>
      </c>
      <c r="K43" s="4">
        <v>8.5</v>
      </c>
    </row>
    <row r="44" spans="2:11" ht="38.25" x14ac:dyDescent="0.2">
      <c r="B44" s="3" t="s">
        <v>343</v>
      </c>
      <c r="C44" s="40" t="s">
        <v>344</v>
      </c>
      <c r="D44" s="40"/>
      <c r="E44" s="40" t="s">
        <v>345</v>
      </c>
      <c r="F44" s="40" t="s">
        <v>346</v>
      </c>
      <c r="G44" s="40"/>
      <c r="H44" s="40" t="s">
        <v>347</v>
      </c>
      <c r="I44" s="40" t="s">
        <v>8</v>
      </c>
      <c r="J44" s="40" t="s">
        <v>9</v>
      </c>
      <c r="K44" s="41">
        <v>2.5</v>
      </c>
    </row>
    <row r="45" spans="2:11" ht="38.25" x14ac:dyDescent="0.2">
      <c r="B45" s="3" t="s">
        <v>348</v>
      </c>
      <c r="C45" s="40" t="s">
        <v>349</v>
      </c>
      <c r="D45" s="40"/>
      <c r="E45" s="40" t="s">
        <v>350</v>
      </c>
      <c r="F45" s="40" t="s">
        <v>351</v>
      </c>
      <c r="G45" s="40"/>
      <c r="H45" s="40" t="s">
        <v>352</v>
      </c>
      <c r="I45" s="40" t="s">
        <v>8</v>
      </c>
      <c r="J45" s="40" t="s">
        <v>9</v>
      </c>
      <c r="K45" s="4">
        <v>3</v>
      </c>
    </row>
    <row r="46" spans="2:11" ht="38.25" x14ac:dyDescent="0.2">
      <c r="B46" s="3" t="s">
        <v>353</v>
      </c>
      <c r="C46" s="40" t="s">
        <v>354</v>
      </c>
      <c r="D46" s="40"/>
      <c r="E46" s="40" t="s">
        <v>355</v>
      </c>
      <c r="F46" s="40" t="s">
        <v>356</v>
      </c>
      <c r="G46" s="40"/>
      <c r="H46" s="40" t="s">
        <v>357</v>
      </c>
      <c r="I46" s="40" t="s">
        <v>8</v>
      </c>
      <c r="J46" s="40" t="s">
        <v>9</v>
      </c>
      <c r="K46" s="4">
        <v>3</v>
      </c>
    </row>
    <row r="47" spans="2:11" ht="51" x14ac:dyDescent="0.2">
      <c r="B47" s="3" t="s">
        <v>113</v>
      </c>
      <c r="C47" s="40" t="s">
        <v>98</v>
      </c>
      <c r="D47" s="40" t="s">
        <v>46</v>
      </c>
      <c r="E47" s="40" t="s">
        <v>95</v>
      </c>
      <c r="F47" s="40" t="s">
        <v>95</v>
      </c>
      <c r="G47" s="40"/>
      <c r="H47" s="40" t="s">
        <v>358</v>
      </c>
      <c r="I47" s="40" t="s">
        <v>13</v>
      </c>
      <c r="J47" s="40" t="s">
        <v>9</v>
      </c>
      <c r="K47" s="4">
        <v>7.5</v>
      </c>
    </row>
    <row r="48" spans="2:11" ht="38.25" x14ac:dyDescent="0.2">
      <c r="B48" s="3" t="s">
        <v>359</v>
      </c>
      <c r="C48" s="40" t="s">
        <v>360</v>
      </c>
      <c r="D48" s="40"/>
      <c r="E48" s="40" t="s">
        <v>361</v>
      </c>
      <c r="F48" s="40" t="s">
        <v>362</v>
      </c>
      <c r="G48" s="40"/>
      <c r="H48" s="40" t="s">
        <v>363</v>
      </c>
      <c r="I48" s="40" t="s">
        <v>13</v>
      </c>
      <c r="J48" s="40" t="s">
        <v>9</v>
      </c>
      <c r="K48" s="4">
        <v>2</v>
      </c>
    </row>
    <row r="49" spans="2:11" ht="25.5" x14ac:dyDescent="0.2">
      <c r="B49" s="3" t="s">
        <v>364</v>
      </c>
      <c r="C49" s="40" t="s">
        <v>365</v>
      </c>
      <c r="D49" s="40"/>
      <c r="E49" s="40" t="s">
        <v>366</v>
      </c>
      <c r="F49" s="40" t="s">
        <v>367</v>
      </c>
      <c r="G49" s="40"/>
      <c r="H49" s="40" t="s">
        <v>368</v>
      </c>
      <c r="I49" s="40" t="s">
        <v>8</v>
      </c>
      <c r="J49" s="40" t="s">
        <v>9</v>
      </c>
      <c r="K49" s="4">
        <v>2.5</v>
      </c>
    </row>
    <row r="50" spans="2:11" ht="38.25" x14ac:dyDescent="0.2">
      <c r="B50" s="3" t="s">
        <v>369</v>
      </c>
      <c r="C50" s="40" t="s">
        <v>370</v>
      </c>
      <c r="D50" s="40"/>
      <c r="E50" s="40" t="s">
        <v>371</v>
      </c>
      <c r="F50" s="40" t="s">
        <v>372</v>
      </c>
      <c r="G50" s="40"/>
      <c r="H50" s="40" t="s">
        <v>373</v>
      </c>
      <c r="I50" s="40" t="s">
        <v>13</v>
      </c>
      <c r="J50" s="40" t="s">
        <v>9</v>
      </c>
      <c r="K50" s="4">
        <v>3</v>
      </c>
    </row>
    <row r="51" spans="2:11" ht="63.75" x14ac:dyDescent="0.2">
      <c r="B51" s="3" t="s">
        <v>121</v>
      </c>
      <c r="C51" s="40" t="s">
        <v>112</v>
      </c>
      <c r="D51" s="40" t="s">
        <v>46</v>
      </c>
      <c r="E51" s="40" t="s">
        <v>109</v>
      </c>
      <c r="F51" s="40" t="s">
        <v>109</v>
      </c>
      <c r="G51" s="40"/>
      <c r="H51" s="40" t="s">
        <v>374</v>
      </c>
      <c r="I51" s="40" t="s">
        <v>13</v>
      </c>
      <c r="J51" s="40" t="s">
        <v>9</v>
      </c>
      <c r="K51" s="4">
        <v>10</v>
      </c>
    </row>
    <row r="52" spans="2:11" ht="38.25" x14ac:dyDescent="0.2">
      <c r="B52" s="3" t="s">
        <v>375</v>
      </c>
      <c r="C52" s="40" t="s">
        <v>376</v>
      </c>
      <c r="D52" s="40"/>
      <c r="E52" s="40" t="s">
        <v>377</v>
      </c>
      <c r="F52" s="40" t="s">
        <v>378</v>
      </c>
      <c r="G52" s="40"/>
      <c r="H52" s="40" t="s">
        <v>379</v>
      </c>
      <c r="I52" s="40" t="s">
        <v>8</v>
      </c>
      <c r="J52" s="40" t="s">
        <v>9</v>
      </c>
      <c r="K52" s="4">
        <v>3</v>
      </c>
    </row>
    <row r="53" spans="2:11" ht="51" x14ac:dyDescent="0.2">
      <c r="B53" s="3" t="s">
        <v>380</v>
      </c>
      <c r="C53" s="40" t="s">
        <v>381</v>
      </c>
      <c r="D53" s="40"/>
      <c r="E53" s="40" t="s">
        <v>382</v>
      </c>
      <c r="F53" s="40" t="s">
        <v>383</v>
      </c>
      <c r="G53" s="40"/>
      <c r="H53" s="40" t="s">
        <v>384</v>
      </c>
      <c r="I53" s="40" t="s">
        <v>8</v>
      </c>
      <c r="J53" s="40" t="s">
        <v>9</v>
      </c>
      <c r="K53" s="4">
        <v>4</v>
      </c>
    </row>
    <row r="54" spans="2:11" ht="38.25" x14ac:dyDescent="0.2">
      <c r="B54" s="3" t="s">
        <v>385</v>
      </c>
      <c r="C54" s="40" t="s">
        <v>386</v>
      </c>
      <c r="D54" s="40"/>
      <c r="E54" s="40" t="s">
        <v>387</v>
      </c>
      <c r="F54" s="40" t="s">
        <v>388</v>
      </c>
      <c r="G54" s="40"/>
      <c r="H54" s="40" t="s">
        <v>389</v>
      </c>
      <c r="I54" s="40" t="s">
        <v>8</v>
      </c>
      <c r="J54" s="40" t="s">
        <v>9</v>
      </c>
      <c r="K54" s="4">
        <v>3</v>
      </c>
    </row>
    <row r="55" spans="2:11" ht="76.5" x14ac:dyDescent="0.2">
      <c r="B55" s="3" t="s">
        <v>128</v>
      </c>
      <c r="C55" s="40" t="s">
        <v>390</v>
      </c>
      <c r="D55" s="40" t="s">
        <v>46</v>
      </c>
      <c r="E55" s="40" t="s">
        <v>131</v>
      </c>
      <c r="F55" s="40" t="s">
        <v>131</v>
      </c>
      <c r="G55" s="40"/>
      <c r="H55" s="40" t="s">
        <v>133</v>
      </c>
      <c r="I55" s="40" t="s">
        <v>8</v>
      </c>
      <c r="J55" s="40" t="s">
        <v>9</v>
      </c>
      <c r="K55" s="4">
        <v>6</v>
      </c>
    </row>
    <row r="56" spans="2:11" ht="38.25" x14ac:dyDescent="0.2">
      <c r="B56" s="3" t="s">
        <v>391</v>
      </c>
      <c r="C56" s="40" t="s">
        <v>392</v>
      </c>
      <c r="D56" s="40"/>
      <c r="E56" s="40" t="s">
        <v>393</v>
      </c>
      <c r="F56" s="40" t="s">
        <v>394</v>
      </c>
      <c r="G56" s="40"/>
      <c r="H56" s="40" t="s">
        <v>395</v>
      </c>
      <c r="I56" s="40" t="s">
        <v>8</v>
      </c>
      <c r="J56" s="40" t="s">
        <v>9</v>
      </c>
      <c r="K56" s="4">
        <v>2</v>
      </c>
    </row>
    <row r="57" spans="2:11" ht="51" x14ac:dyDescent="0.2">
      <c r="B57" s="3" t="s">
        <v>396</v>
      </c>
      <c r="C57" s="40" t="s">
        <v>397</v>
      </c>
      <c r="D57" s="40"/>
      <c r="E57" s="40" t="s">
        <v>398</v>
      </c>
      <c r="F57" s="40" t="s">
        <v>399</v>
      </c>
      <c r="G57" s="40"/>
      <c r="H57" s="40" t="s">
        <v>400</v>
      </c>
      <c r="I57" s="40" t="s">
        <v>13</v>
      </c>
      <c r="J57" s="40" t="s">
        <v>9</v>
      </c>
      <c r="K57" s="4">
        <v>2</v>
      </c>
    </row>
    <row r="58" spans="2:11" ht="38.25" x14ac:dyDescent="0.2">
      <c r="B58" s="3" t="s">
        <v>401</v>
      </c>
      <c r="C58" s="40" t="s">
        <v>402</v>
      </c>
      <c r="D58" s="40"/>
      <c r="E58" s="40" t="s">
        <v>403</v>
      </c>
      <c r="F58" s="40" t="s">
        <v>404</v>
      </c>
      <c r="G58" s="40"/>
      <c r="H58" s="40" t="s">
        <v>405</v>
      </c>
      <c r="I58" s="40" t="s">
        <v>8</v>
      </c>
      <c r="J58" s="40" t="s">
        <v>9</v>
      </c>
      <c r="K58" s="4">
        <v>2</v>
      </c>
    </row>
    <row r="59" spans="2:11" ht="76.5" x14ac:dyDescent="0.2">
      <c r="B59" s="3" t="s">
        <v>135</v>
      </c>
      <c r="C59" s="40" t="s">
        <v>406</v>
      </c>
      <c r="D59" s="40" t="s">
        <v>46</v>
      </c>
      <c r="E59" s="40" t="s">
        <v>138</v>
      </c>
      <c r="F59" s="40" t="s">
        <v>138</v>
      </c>
      <c r="G59" s="40"/>
      <c r="H59" s="40" t="s">
        <v>140</v>
      </c>
      <c r="I59" s="40" t="s">
        <v>13</v>
      </c>
      <c r="J59" s="40" t="s">
        <v>9</v>
      </c>
      <c r="K59" s="4">
        <v>9</v>
      </c>
    </row>
    <row r="60" spans="2:11" ht="38.25" x14ac:dyDescent="0.2">
      <c r="B60" s="3" t="s">
        <v>407</v>
      </c>
      <c r="C60" s="40" t="s">
        <v>408</v>
      </c>
      <c r="D60" s="40"/>
      <c r="E60" s="40" t="s">
        <v>409</v>
      </c>
      <c r="F60" s="40" t="s">
        <v>410</v>
      </c>
      <c r="G60" s="40"/>
      <c r="H60" s="40" t="s">
        <v>411</v>
      </c>
      <c r="I60" s="40" t="s">
        <v>13</v>
      </c>
      <c r="J60" s="40" t="s">
        <v>9</v>
      </c>
      <c r="K60" s="41">
        <v>3</v>
      </c>
    </row>
    <row r="61" spans="2:11" ht="38.25" x14ac:dyDescent="0.2">
      <c r="B61" s="3" t="s">
        <v>412</v>
      </c>
      <c r="C61" s="40" t="s">
        <v>413</v>
      </c>
      <c r="D61" s="40"/>
      <c r="E61" s="40" t="s">
        <v>414</v>
      </c>
      <c r="F61" s="40" t="s">
        <v>415</v>
      </c>
      <c r="G61" s="40"/>
      <c r="H61" s="40" t="s">
        <v>416</v>
      </c>
      <c r="I61" s="40" t="s">
        <v>8</v>
      </c>
      <c r="J61" s="40" t="s">
        <v>9</v>
      </c>
      <c r="K61" s="4">
        <v>3</v>
      </c>
    </row>
    <row r="62" spans="2:11" ht="51" x14ac:dyDescent="0.2">
      <c r="B62" s="3" t="s">
        <v>417</v>
      </c>
      <c r="C62" s="40" t="s">
        <v>418</v>
      </c>
      <c r="D62" s="40"/>
      <c r="E62" s="40" t="s">
        <v>419</v>
      </c>
      <c r="F62" s="40" t="s">
        <v>420</v>
      </c>
      <c r="G62" s="40"/>
      <c r="H62" s="40" t="s">
        <v>421</v>
      </c>
      <c r="I62" s="40" t="s">
        <v>13</v>
      </c>
      <c r="J62" s="40" t="s">
        <v>9</v>
      </c>
      <c r="K62" s="4">
        <v>3</v>
      </c>
    </row>
    <row r="63" spans="2:11" ht="51" x14ac:dyDescent="0.2">
      <c r="B63" s="3" t="s">
        <v>142</v>
      </c>
      <c r="C63" s="40" t="s">
        <v>422</v>
      </c>
      <c r="D63" s="40" t="s">
        <v>46</v>
      </c>
      <c r="E63" s="40" t="s">
        <v>145</v>
      </c>
      <c r="F63" s="40" t="s">
        <v>145</v>
      </c>
      <c r="G63" s="40"/>
      <c r="H63" s="40" t="s">
        <v>423</v>
      </c>
      <c r="I63" s="40" t="s">
        <v>164</v>
      </c>
      <c r="J63" s="40" t="s">
        <v>9</v>
      </c>
      <c r="K63" s="4">
        <v>8</v>
      </c>
    </row>
    <row r="64" spans="2:11" ht="38.25" x14ac:dyDescent="0.2">
      <c r="B64" s="3" t="s">
        <v>424</v>
      </c>
      <c r="C64" s="40" t="s">
        <v>425</v>
      </c>
      <c r="D64" s="40"/>
      <c r="E64" s="40" t="s">
        <v>426</v>
      </c>
      <c r="F64" s="40" t="s">
        <v>427</v>
      </c>
      <c r="G64" s="40"/>
      <c r="H64" s="40" t="s">
        <v>428</v>
      </c>
      <c r="I64" s="40" t="s">
        <v>13</v>
      </c>
      <c r="J64" s="40" t="s">
        <v>9</v>
      </c>
      <c r="K64" s="4">
        <v>3</v>
      </c>
    </row>
    <row r="65" spans="2:11" ht="51" x14ac:dyDescent="0.2">
      <c r="B65" s="3" t="s">
        <v>429</v>
      </c>
      <c r="C65" s="40" t="s">
        <v>430</v>
      </c>
      <c r="D65" s="40"/>
      <c r="E65" s="40" t="s">
        <v>431</v>
      </c>
      <c r="F65" s="40" t="s">
        <v>432</v>
      </c>
      <c r="G65" s="40"/>
      <c r="H65" s="40" t="s">
        <v>433</v>
      </c>
      <c r="I65" s="40" t="s">
        <v>13</v>
      </c>
      <c r="J65" s="40" t="s">
        <v>9</v>
      </c>
      <c r="K65" s="4">
        <v>3</v>
      </c>
    </row>
    <row r="66" spans="2:11" ht="38.25" x14ac:dyDescent="0.2">
      <c r="B66" s="3" t="s">
        <v>434</v>
      </c>
      <c r="C66" s="40" t="s">
        <v>435</v>
      </c>
      <c r="D66" s="40"/>
      <c r="E66" s="40" t="s">
        <v>436</v>
      </c>
      <c r="F66" s="40" t="s">
        <v>437</v>
      </c>
      <c r="G66" s="40"/>
      <c r="H66" s="40" t="s">
        <v>438</v>
      </c>
      <c r="I66" s="40" t="s">
        <v>164</v>
      </c>
      <c r="J66" s="40" t="s">
        <v>9</v>
      </c>
      <c r="K66" s="4">
        <v>2</v>
      </c>
    </row>
    <row r="67" spans="2:11" ht="63.75" x14ac:dyDescent="0.2">
      <c r="B67" s="3" t="s">
        <v>149</v>
      </c>
      <c r="C67" s="40" t="s">
        <v>439</v>
      </c>
      <c r="D67" s="40" t="s">
        <v>46</v>
      </c>
      <c r="E67" s="40" t="s">
        <v>152</v>
      </c>
      <c r="F67" s="40" t="s">
        <v>152</v>
      </c>
      <c r="G67" s="40"/>
      <c r="H67" s="40" t="s">
        <v>440</v>
      </c>
      <c r="I67" s="40" t="s">
        <v>8</v>
      </c>
      <c r="J67" s="40" t="s">
        <v>9</v>
      </c>
      <c r="K67" s="4">
        <v>10</v>
      </c>
    </row>
    <row r="68" spans="2:11" ht="38.25" x14ac:dyDescent="0.2">
      <c r="B68" s="3" t="s">
        <v>441</v>
      </c>
      <c r="C68" s="40" t="s">
        <v>442</v>
      </c>
      <c r="D68" s="40"/>
      <c r="E68" s="40" t="s">
        <v>443</v>
      </c>
      <c r="F68" s="40" t="s">
        <v>444</v>
      </c>
      <c r="G68" s="40"/>
      <c r="H68" s="40" t="s">
        <v>445</v>
      </c>
      <c r="I68" s="40" t="s">
        <v>8</v>
      </c>
      <c r="J68" s="40" t="s">
        <v>9</v>
      </c>
      <c r="K68" s="4">
        <v>3</v>
      </c>
    </row>
    <row r="69" spans="2:11" ht="51" x14ac:dyDescent="0.2">
      <c r="B69" s="3" t="s">
        <v>446</v>
      </c>
      <c r="C69" s="40" t="s">
        <v>447</v>
      </c>
      <c r="D69" s="40"/>
      <c r="E69" s="40" t="s">
        <v>448</v>
      </c>
      <c r="F69" s="40" t="s">
        <v>449</v>
      </c>
      <c r="G69" s="40"/>
      <c r="H69" s="40" t="s">
        <v>450</v>
      </c>
      <c r="I69" s="40" t="s">
        <v>8</v>
      </c>
      <c r="J69" s="40" t="s">
        <v>9</v>
      </c>
      <c r="K69" s="4">
        <v>4</v>
      </c>
    </row>
    <row r="70" spans="2:11" ht="51" x14ac:dyDescent="0.2">
      <c r="B70" s="3" t="s">
        <v>451</v>
      </c>
      <c r="C70" s="40" t="s">
        <v>452</v>
      </c>
      <c r="D70" s="40"/>
      <c r="E70" s="40" t="s">
        <v>453</v>
      </c>
      <c r="F70" s="40" t="s">
        <v>454</v>
      </c>
      <c r="G70" s="40"/>
      <c r="H70" s="40" t="s">
        <v>455</v>
      </c>
      <c r="I70" s="40" t="s">
        <v>13</v>
      </c>
      <c r="J70" s="40" t="s">
        <v>9</v>
      </c>
      <c r="K70" s="4">
        <v>3</v>
      </c>
    </row>
    <row r="71" spans="2:11" ht="63.75" x14ac:dyDescent="0.2">
      <c r="B71" s="3" t="s">
        <v>156</v>
      </c>
      <c r="C71" s="40" t="s">
        <v>456</v>
      </c>
      <c r="D71" s="40" t="s">
        <v>46</v>
      </c>
      <c r="E71" s="40" t="s">
        <v>159</v>
      </c>
      <c r="F71" s="40" t="s">
        <v>159</v>
      </c>
      <c r="G71" s="40"/>
      <c r="H71" s="40" t="s">
        <v>161</v>
      </c>
      <c r="I71" s="40" t="s">
        <v>13</v>
      </c>
      <c r="J71" s="40" t="s">
        <v>9</v>
      </c>
      <c r="K71" s="4">
        <v>8.5</v>
      </c>
    </row>
    <row r="72" spans="2:11" ht="51" x14ac:dyDescent="0.2">
      <c r="B72" s="3" t="s">
        <v>457</v>
      </c>
      <c r="C72" s="40" t="s">
        <v>458</v>
      </c>
      <c r="D72" s="40"/>
      <c r="E72" s="40" t="s">
        <v>459</v>
      </c>
      <c r="F72" s="40" t="s">
        <v>460</v>
      </c>
      <c r="G72" s="40"/>
      <c r="H72" s="40" t="s">
        <v>461</v>
      </c>
      <c r="I72" s="40" t="s">
        <v>13</v>
      </c>
      <c r="J72" s="40" t="s">
        <v>9</v>
      </c>
      <c r="K72" s="4">
        <v>3</v>
      </c>
    </row>
    <row r="73" spans="2:11" ht="51" x14ac:dyDescent="0.2">
      <c r="B73" s="3" t="s">
        <v>462</v>
      </c>
      <c r="C73" s="40" t="s">
        <v>463</v>
      </c>
      <c r="D73" s="40"/>
      <c r="E73" s="40" t="s">
        <v>464</v>
      </c>
      <c r="F73" s="40" t="s">
        <v>465</v>
      </c>
      <c r="G73" s="40"/>
      <c r="H73" s="40" t="s">
        <v>466</v>
      </c>
      <c r="I73" s="40" t="s">
        <v>8</v>
      </c>
      <c r="J73" s="40" t="s">
        <v>9</v>
      </c>
      <c r="K73" s="4">
        <v>3</v>
      </c>
    </row>
    <row r="74" spans="2:11" ht="51" x14ac:dyDescent="0.2">
      <c r="B74" s="3" t="s">
        <v>467</v>
      </c>
      <c r="C74" s="40" t="s">
        <v>468</v>
      </c>
      <c r="D74" s="40"/>
      <c r="E74" s="40" t="s">
        <v>469</v>
      </c>
      <c r="F74" s="40" t="s">
        <v>470</v>
      </c>
      <c r="G74" s="40"/>
      <c r="H74" s="40" t="s">
        <v>471</v>
      </c>
      <c r="I74" s="40" t="s">
        <v>13</v>
      </c>
      <c r="J74" s="40" t="s">
        <v>9</v>
      </c>
      <c r="K74" s="4">
        <v>2.5</v>
      </c>
    </row>
    <row r="75" spans="2:11" ht="15.75" customHeight="1" x14ac:dyDescent="0.2"/>
    <row r="76" spans="2:11" ht="15.75" customHeight="1" x14ac:dyDescent="0.2"/>
    <row r="77" spans="2:11" ht="15.75" customHeight="1" x14ac:dyDescent="0.2"/>
    <row r="78" spans="2:11" ht="15.75" customHeight="1" x14ac:dyDescent="0.2"/>
    <row r="79" spans="2:11" ht="15.75" customHeight="1" x14ac:dyDescent="0.2"/>
    <row r="80" spans="2:1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Q961"/>
  <sheetViews>
    <sheetView tabSelected="1" topLeftCell="A61" workbookViewId="0">
      <selection activeCell="C102" sqref="C102"/>
    </sheetView>
  </sheetViews>
  <sheetFormatPr baseColWidth="10" defaultColWidth="12.7109375" defaultRowHeight="15" customHeight="1" x14ac:dyDescent="0.2"/>
  <cols>
    <col min="1" max="1" width="12.42578125" customWidth="1"/>
    <col min="2" max="2" width="24.42578125" customWidth="1"/>
    <col min="3" max="26" width="12.42578125" customWidth="1"/>
  </cols>
  <sheetData>
    <row r="1" spans="2:9" ht="15.75" customHeight="1" x14ac:dyDescent="0.2">
      <c r="B1" s="54" t="s">
        <v>472</v>
      </c>
      <c r="C1" s="54"/>
      <c r="D1" s="54"/>
      <c r="E1" s="54"/>
      <c r="F1" s="54"/>
      <c r="G1" s="54"/>
      <c r="H1" s="54"/>
      <c r="I1" s="54"/>
    </row>
    <row r="2" spans="2:9" ht="15.75" customHeight="1" x14ac:dyDescent="0.2"/>
    <row r="3" spans="2:9" ht="15.75" customHeight="1" x14ac:dyDescent="0.2">
      <c r="B3" s="6"/>
      <c r="C3" s="6" t="s">
        <v>21</v>
      </c>
      <c r="D3" s="6" t="s">
        <v>22</v>
      </c>
      <c r="E3" s="6" t="s">
        <v>23</v>
      </c>
      <c r="F3" s="6" t="s">
        <v>24</v>
      </c>
      <c r="G3" s="6" t="s">
        <v>25</v>
      </c>
      <c r="H3" s="6" t="s">
        <v>26</v>
      </c>
      <c r="I3" s="6" t="s">
        <v>27</v>
      </c>
    </row>
    <row r="4" spans="2:9" ht="15.75" customHeight="1" x14ac:dyDescent="0.2">
      <c r="B4" s="9" t="s">
        <v>182</v>
      </c>
      <c r="C4" s="10">
        <f>VLOOKUP(B4, sprint0!$B$4:$K$17, 10)</f>
        <v>5</v>
      </c>
      <c r="D4" s="8">
        <v>5</v>
      </c>
      <c r="E4" s="8">
        <v>0</v>
      </c>
      <c r="F4" s="8">
        <v>0</v>
      </c>
      <c r="G4" s="8">
        <v>0</v>
      </c>
      <c r="H4" s="8">
        <v>0</v>
      </c>
      <c r="I4" s="11">
        <f>SUM(D4:H4)</f>
        <v>5</v>
      </c>
    </row>
    <row r="5" spans="2:9" ht="15.75" customHeight="1" x14ac:dyDescent="0.2">
      <c r="B5" s="9" t="s">
        <v>186</v>
      </c>
      <c r="C5" s="10">
        <f>VLOOKUP(B5, sprint0!$B$4:$K$17, 10)</f>
        <v>4</v>
      </c>
      <c r="D5" s="8">
        <v>0</v>
      </c>
      <c r="E5" s="8">
        <v>3</v>
      </c>
      <c r="F5" s="8">
        <v>1</v>
      </c>
      <c r="G5" s="8">
        <v>0</v>
      </c>
      <c r="H5" s="8">
        <v>0</v>
      </c>
      <c r="I5" s="11">
        <f t="shared" ref="I4:I6" si="0">SUM(D5:H5)</f>
        <v>4</v>
      </c>
    </row>
    <row r="6" spans="2:9" ht="15.75" customHeight="1" x14ac:dyDescent="0.2">
      <c r="B6" s="9" t="s">
        <v>187</v>
      </c>
      <c r="C6" s="10">
        <f>VLOOKUP(B6, sprint0!$B$4:$K$17, 10)</f>
        <v>5</v>
      </c>
      <c r="D6" s="8">
        <v>0</v>
      </c>
      <c r="E6" s="8">
        <v>1</v>
      </c>
      <c r="F6" s="8">
        <v>4</v>
      </c>
      <c r="G6" s="8">
        <v>0</v>
      </c>
      <c r="H6" s="8">
        <v>0</v>
      </c>
      <c r="I6" s="11">
        <f t="shared" si="0"/>
        <v>5</v>
      </c>
    </row>
    <row r="7" spans="2:9" ht="15.75" customHeight="1" x14ac:dyDescent="0.2">
      <c r="B7" s="9" t="s">
        <v>201</v>
      </c>
      <c r="C7" s="10">
        <f>VLOOKUP(B7, sprint0!$B$4:$K$17, 10)</f>
        <v>2</v>
      </c>
      <c r="D7" s="8">
        <v>2</v>
      </c>
      <c r="E7" s="8">
        <v>0</v>
      </c>
      <c r="F7" s="8">
        <v>0</v>
      </c>
      <c r="G7" s="8">
        <v>0</v>
      </c>
      <c r="H7" s="8">
        <v>0</v>
      </c>
      <c r="I7" s="11">
        <f t="shared" ref="I7:I11" si="1">SUM(D7:H7)</f>
        <v>2</v>
      </c>
    </row>
    <row r="8" spans="2:9" ht="15.75" customHeight="1" x14ac:dyDescent="0.2">
      <c r="B8" s="9" t="s">
        <v>202</v>
      </c>
      <c r="C8" s="10">
        <f>VLOOKUP(B8, sprint0!$B$4:$K$17, 10)</f>
        <v>3.5</v>
      </c>
      <c r="D8" s="8">
        <v>0</v>
      </c>
      <c r="E8" s="8">
        <v>3.5</v>
      </c>
      <c r="F8" s="8">
        <v>0</v>
      </c>
      <c r="G8" s="8">
        <v>0</v>
      </c>
      <c r="H8" s="8">
        <v>0</v>
      </c>
      <c r="I8" s="11">
        <f t="shared" ref="I8:I10" si="2">SUM(D8:H8)</f>
        <v>3.5</v>
      </c>
    </row>
    <row r="9" spans="2:9" ht="15.75" customHeight="1" x14ac:dyDescent="0.2">
      <c r="B9" s="9" t="s">
        <v>203</v>
      </c>
      <c r="C9" s="10">
        <f>VLOOKUP(B9, sprint0!$B$4:$K$17, 10)</f>
        <v>2.5</v>
      </c>
      <c r="D9" s="8">
        <v>0</v>
      </c>
      <c r="E9" s="8">
        <v>0</v>
      </c>
      <c r="F9" s="8">
        <v>2.5</v>
      </c>
      <c r="G9" s="8">
        <v>0</v>
      </c>
      <c r="H9" s="8">
        <v>0</v>
      </c>
      <c r="I9" s="11">
        <f t="shared" si="2"/>
        <v>2.5</v>
      </c>
    </row>
    <row r="10" spans="2:9" ht="15.75" customHeight="1" x14ac:dyDescent="0.2">
      <c r="B10" s="9" t="s">
        <v>204</v>
      </c>
      <c r="C10" s="10">
        <f>VLOOKUP(B10, sprint0!$B$4:$K$17, 10)</f>
        <v>2.5</v>
      </c>
      <c r="D10" s="8">
        <v>0</v>
      </c>
      <c r="E10" s="8">
        <v>0</v>
      </c>
      <c r="F10" s="8">
        <v>0</v>
      </c>
      <c r="G10" s="8">
        <v>1.5</v>
      </c>
      <c r="H10" s="8">
        <v>1</v>
      </c>
      <c r="I10" s="11">
        <f t="shared" si="2"/>
        <v>2.5</v>
      </c>
    </row>
    <row r="11" spans="2:9" ht="15.75" customHeight="1" x14ac:dyDescent="0.2">
      <c r="B11" s="9" t="s">
        <v>217</v>
      </c>
      <c r="C11" s="10">
        <f>VLOOKUP(B11, sprint0!$B$4:$K$17, 10)</f>
        <v>3.5</v>
      </c>
      <c r="D11" s="8">
        <v>3.5</v>
      </c>
      <c r="E11" s="8">
        <v>0</v>
      </c>
      <c r="F11" s="8">
        <v>0</v>
      </c>
      <c r="G11" s="8">
        <v>0</v>
      </c>
      <c r="H11" s="8">
        <v>0</v>
      </c>
      <c r="I11" s="11">
        <f t="shared" si="1"/>
        <v>3.5</v>
      </c>
    </row>
    <row r="12" spans="2:9" ht="15.75" customHeight="1" x14ac:dyDescent="0.2">
      <c r="B12" s="9" t="s">
        <v>218</v>
      </c>
      <c r="C12" s="10">
        <f>VLOOKUP(B12, sprint0!$B$4:$K$17, 10)</f>
        <v>2</v>
      </c>
      <c r="D12" s="8">
        <v>0</v>
      </c>
      <c r="E12" s="8">
        <v>2</v>
      </c>
      <c r="F12" s="8">
        <v>0</v>
      </c>
      <c r="G12" s="8">
        <v>0</v>
      </c>
      <c r="H12" s="8">
        <v>0</v>
      </c>
      <c r="I12" s="11">
        <f t="shared" ref="I12:I14" si="3">SUM(D12:H12)</f>
        <v>2</v>
      </c>
    </row>
    <row r="13" spans="2:9" ht="15.75" customHeight="1" x14ac:dyDescent="0.2">
      <c r="B13" s="9" t="s">
        <v>219</v>
      </c>
      <c r="C13" s="10">
        <f>VLOOKUP(B13, sprint0!$B$4:$K$17, 10)</f>
        <v>3</v>
      </c>
      <c r="D13" s="8">
        <v>0</v>
      </c>
      <c r="E13" s="8">
        <v>0</v>
      </c>
      <c r="F13" s="8">
        <v>1</v>
      </c>
      <c r="G13" s="8">
        <v>2</v>
      </c>
      <c r="H13" s="8">
        <v>0</v>
      </c>
      <c r="I13" s="11">
        <f t="shared" si="3"/>
        <v>3</v>
      </c>
    </row>
    <row r="14" spans="2:9" ht="15.75" customHeight="1" x14ac:dyDescent="0.2">
      <c r="B14" s="9" t="s">
        <v>220</v>
      </c>
      <c r="C14" s="10">
        <f>VLOOKUP(B14, sprint0!$B$4:$K$17, 10)</f>
        <v>2</v>
      </c>
      <c r="D14" s="8">
        <v>0</v>
      </c>
      <c r="E14" s="8">
        <v>0</v>
      </c>
      <c r="F14" s="8">
        <v>0</v>
      </c>
      <c r="G14" s="8">
        <v>0</v>
      </c>
      <c r="H14" s="8">
        <v>2</v>
      </c>
      <c r="I14" s="11">
        <f t="shared" si="3"/>
        <v>2</v>
      </c>
    </row>
    <row r="15" spans="2:9" ht="15.75" customHeight="1" x14ac:dyDescent="0.2"/>
    <row r="16" spans="2:9" ht="15.75" customHeight="1" x14ac:dyDescent="0.2"/>
    <row r="17" spans="2:8" ht="15.75" customHeight="1" x14ac:dyDescent="0.2"/>
    <row r="18" spans="2:8" ht="15.75" customHeight="1" x14ac:dyDescent="0.2"/>
    <row r="19" spans="2:8" ht="15.75" customHeight="1" x14ac:dyDescent="0.2">
      <c r="B19" s="12" t="s">
        <v>28</v>
      </c>
      <c r="C19" s="6">
        <f>SUM(C4:C14)</f>
        <v>35</v>
      </c>
      <c r="D19" s="6">
        <f>C19-SUM(D4:D14)</f>
        <v>24.5</v>
      </c>
      <c r="E19" s="6">
        <f>D19-SUM(E4:E14)</f>
        <v>15</v>
      </c>
      <c r="F19" s="6">
        <f>E19-SUM(F4:F14)</f>
        <v>6.5</v>
      </c>
      <c r="G19" s="6">
        <f>F19-SUM(G4:G14)</f>
        <v>3</v>
      </c>
      <c r="H19" s="6">
        <f>G19-SUM(H4:H14)</f>
        <v>0</v>
      </c>
    </row>
    <row r="20" spans="2:8" ht="15.75" customHeight="1" x14ac:dyDescent="0.2">
      <c r="B20" s="12" t="s">
        <v>29</v>
      </c>
      <c r="C20" s="6">
        <f>SUM(C4:C14)</f>
        <v>35</v>
      </c>
      <c r="D20" s="6">
        <f>C20-(SUM(C4:C14)/5)</f>
        <v>28</v>
      </c>
      <c r="E20" s="6">
        <f>D20-(SUM(C4:C14)/5)</f>
        <v>21</v>
      </c>
      <c r="F20" s="6">
        <f>E20-(SUM(C4:C14)/5)</f>
        <v>14</v>
      </c>
      <c r="G20" s="6">
        <f>F20-(SUM(C4:C14)/5)</f>
        <v>7</v>
      </c>
      <c r="H20" s="6">
        <f>G20-(SUM(C4:C14)/5)</f>
        <v>0</v>
      </c>
    </row>
    <row r="21" spans="2:8" ht="15.75" customHeight="1" x14ac:dyDescent="0.2"/>
    <row r="22" spans="2:8" ht="15.75" customHeight="1" x14ac:dyDescent="0.2"/>
    <row r="23" spans="2:8" ht="15.75" customHeight="1" x14ac:dyDescent="0.2"/>
    <row r="24" spans="2:8" ht="15.75" customHeight="1" x14ac:dyDescent="0.2">
      <c r="B24" s="55" t="s">
        <v>238</v>
      </c>
      <c r="C24" s="56"/>
      <c r="D24" s="56"/>
      <c r="E24" s="56"/>
      <c r="F24" s="56"/>
      <c r="G24" s="56"/>
    </row>
    <row r="25" spans="2:8" ht="15.75" customHeight="1" x14ac:dyDescent="0.2">
      <c r="B25" s="56"/>
      <c r="C25" s="56"/>
      <c r="D25" s="56"/>
      <c r="E25" s="56"/>
      <c r="F25" s="56"/>
      <c r="G25" s="56"/>
    </row>
    <row r="26" spans="2:8" ht="15.75" customHeight="1" x14ac:dyDescent="0.2">
      <c r="B26" s="56"/>
      <c r="C26" s="56"/>
      <c r="D26" s="56"/>
      <c r="E26" s="56"/>
      <c r="F26" s="56"/>
      <c r="G26" s="56"/>
    </row>
    <row r="27" spans="2:8" ht="15.75" customHeight="1" x14ac:dyDescent="0.2">
      <c r="B27" s="56"/>
      <c r="C27" s="56"/>
      <c r="D27" s="56"/>
      <c r="E27" s="56"/>
      <c r="F27" s="56"/>
      <c r="G27" s="56"/>
    </row>
    <row r="28" spans="2:8" ht="15.75" customHeight="1" x14ac:dyDescent="0.2">
      <c r="B28" s="56"/>
      <c r="C28" s="56"/>
      <c r="D28" s="56"/>
      <c r="E28" s="56"/>
      <c r="F28" s="56"/>
      <c r="G28" s="56"/>
    </row>
    <row r="29" spans="2:8" ht="15.75" customHeight="1" x14ac:dyDescent="0.2">
      <c r="B29" s="56"/>
      <c r="C29" s="56"/>
      <c r="D29" s="56"/>
      <c r="E29" s="56"/>
      <c r="F29" s="56"/>
      <c r="G29" s="56"/>
    </row>
    <row r="30" spans="2:8" ht="15.75" customHeight="1" x14ac:dyDescent="0.2">
      <c r="B30" s="56"/>
      <c r="C30" s="56"/>
      <c r="D30" s="56"/>
      <c r="E30" s="56"/>
      <c r="F30" s="56"/>
      <c r="G30" s="56"/>
    </row>
    <row r="31" spans="2:8" ht="15.75" customHeight="1" x14ac:dyDescent="0.2">
      <c r="B31" s="56"/>
      <c r="C31" s="56"/>
      <c r="D31" s="56"/>
      <c r="E31" s="56"/>
      <c r="F31" s="56"/>
      <c r="G31" s="56"/>
    </row>
    <row r="32" spans="2:8" ht="15.75" customHeight="1" x14ac:dyDescent="0.2"/>
    <row r="33" spans="2:9" ht="15.75" customHeight="1" x14ac:dyDescent="0.2"/>
    <row r="34" spans="2:9" ht="15.75" customHeight="1" x14ac:dyDescent="0.2"/>
    <row r="35" spans="2:9" ht="15.75" customHeight="1" x14ac:dyDescent="0.2"/>
    <row r="36" spans="2:9" ht="15.75" customHeight="1" x14ac:dyDescent="0.2"/>
    <row r="37" spans="2:9" ht="15.75" customHeight="1" x14ac:dyDescent="0.2"/>
    <row r="38" spans="2:9" ht="15.75" customHeight="1" x14ac:dyDescent="0.2"/>
    <row r="39" spans="2:9" ht="15.75" customHeight="1" x14ac:dyDescent="0.2"/>
    <row r="40" spans="2:9" ht="15.75" customHeight="1" x14ac:dyDescent="0.2"/>
    <row r="41" spans="2:9" ht="15.75" customHeight="1" x14ac:dyDescent="0.2"/>
    <row r="42" spans="2:9" ht="15.75" customHeight="1" x14ac:dyDescent="0.2">
      <c r="B42" s="54" t="s">
        <v>473</v>
      </c>
      <c r="C42" s="54"/>
      <c r="D42" s="54"/>
      <c r="E42" s="54"/>
      <c r="F42" s="54"/>
      <c r="G42" s="54"/>
      <c r="H42" s="54"/>
      <c r="I42" s="54"/>
    </row>
    <row r="43" spans="2:9" ht="15.75" customHeight="1" x14ac:dyDescent="0.2"/>
    <row r="44" spans="2:9" ht="15.75" customHeight="1" x14ac:dyDescent="0.2">
      <c r="B44" s="6" t="s">
        <v>15</v>
      </c>
      <c r="C44" s="6" t="s">
        <v>21</v>
      </c>
      <c r="D44" s="6" t="s">
        <v>477</v>
      </c>
      <c r="E44" s="6" t="s">
        <v>478</v>
      </c>
      <c r="F44" s="6" t="s">
        <v>479</v>
      </c>
      <c r="G44" s="6" t="s">
        <v>480</v>
      </c>
      <c r="H44" s="6" t="s">
        <v>481</v>
      </c>
      <c r="I44" s="6" t="s">
        <v>482</v>
      </c>
    </row>
    <row r="45" spans="2:9" ht="15.75" customHeight="1" x14ac:dyDescent="0.2">
      <c r="B45" s="43" t="s">
        <v>244</v>
      </c>
      <c r="C45" s="10">
        <v>2</v>
      </c>
      <c r="D45" s="8">
        <v>2</v>
      </c>
      <c r="E45" s="8">
        <v>0</v>
      </c>
      <c r="F45" s="8">
        <v>0</v>
      </c>
      <c r="G45" s="8">
        <v>0</v>
      </c>
      <c r="H45" s="8">
        <v>0</v>
      </c>
      <c r="I45" s="11">
        <v>2</v>
      </c>
    </row>
    <row r="46" spans="2:9" ht="15.75" customHeight="1" x14ac:dyDescent="0.2">
      <c r="B46" s="43" t="s">
        <v>249</v>
      </c>
      <c r="C46" s="10">
        <v>2.5</v>
      </c>
      <c r="D46" s="8">
        <v>0</v>
      </c>
      <c r="E46" s="8">
        <v>2.5</v>
      </c>
      <c r="F46" s="8">
        <v>0</v>
      </c>
      <c r="G46" s="8">
        <v>0</v>
      </c>
      <c r="H46" s="8">
        <v>0</v>
      </c>
      <c r="I46" s="11">
        <v>2.5</v>
      </c>
    </row>
    <row r="47" spans="2:9" ht="15.75" customHeight="1" x14ac:dyDescent="0.2">
      <c r="B47" s="43" t="s">
        <v>254</v>
      </c>
      <c r="C47" s="10">
        <v>2.5</v>
      </c>
      <c r="D47" s="8">
        <v>0</v>
      </c>
      <c r="E47" s="8">
        <v>0</v>
      </c>
      <c r="F47" s="8">
        <v>2.5</v>
      </c>
      <c r="G47" s="8">
        <v>0</v>
      </c>
      <c r="H47" s="8">
        <v>0</v>
      </c>
      <c r="I47" s="11">
        <v>2.5</v>
      </c>
    </row>
    <row r="48" spans="2:9" ht="15.75" customHeight="1" x14ac:dyDescent="0.2">
      <c r="B48" s="43" t="s">
        <v>259</v>
      </c>
      <c r="C48" s="10">
        <v>3</v>
      </c>
      <c r="D48" s="8">
        <v>3</v>
      </c>
      <c r="E48" s="8">
        <v>0</v>
      </c>
      <c r="F48" s="8">
        <v>0</v>
      </c>
      <c r="G48" s="8">
        <v>0</v>
      </c>
      <c r="H48" s="8">
        <v>0</v>
      </c>
      <c r="I48" s="11">
        <v>3</v>
      </c>
    </row>
    <row r="49" spans="2:9" ht="15.75" customHeight="1" x14ac:dyDescent="0.2">
      <c r="B49" s="43" t="s">
        <v>264</v>
      </c>
      <c r="C49" s="10">
        <v>4</v>
      </c>
      <c r="D49" s="8">
        <v>0</v>
      </c>
      <c r="E49" s="8">
        <v>4</v>
      </c>
      <c r="F49" s="8">
        <v>0</v>
      </c>
      <c r="G49" s="8">
        <v>0</v>
      </c>
      <c r="H49" s="8">
        <v>0</v>
      </c>
      <c r="I49" s="11">
        <v>4</v>
      </c>
    </row>
    <row r="50" spans="2:9" ht="15.75" customHeight="1" x14ac:dyDescent="0.2">
      <c r="B50" s="43" t="s">
        <v>269</v>
      </c>
      <c r="C50" s="10">
        <v>2</v>
      </c>
      <c r="D50" s="8">
        <v>0</v>
      </c>
      <c r="E50" s="8">
        <v>0</v>
      </c>
      <c r="F50" s="8">
        <v>2</v>
      </c>
      <c r="G50" s="8">
        <v>0</v>
      </c>
      <c r="H50" s="8">
        <v>0</v>
      </c>
      <c r="I50" s="11">
        <v>2</v>
      </c>
    </row>
    <row r="51" spans="2:9" ht="15.75" customHeight="1" x14ac:dyDescent="0.2">
      <c r="B51" s="43" t="s">
        <v>274</v>
      </c>
      <c r="C51" s="10">
        <v>3</v>
      </c>
      <c r="D51" s="8">
        <v>0</v>
      </c>
      <c r="E51" s="8">
        <v>0</v>
      </c>
      <c r="F51" s="8">
        <v>0</v>
      </c>
      <c r="G51" s="8">
        <v>3</v>
      </c>
      <c r="H51" s="8">
        <v>0</v>
      </c>
      <c r="I51" s="11">
        <v>3</v>
      </c>
    </row>
    <row r="52" spans="2:9" ht="15.75" customHeight="1" x14ac:dyDescent="0.2">
      <c r="B52" s="43" t="s">
        <v>279</v>
      </c>
      <c r="C52" s="10">
        <v>3</v>
      </c>
      <c r="D52" s="8">
        <v>0</v>
      </c>
      <c r="E52" s="8">
        <v>0</v>
      </c>
      <c r="F52" s="8">
        <v>3</v>
      </c>
      <c r="G52" s="8">
        <v>0</v>
      </c>
      <c r="H52" s="8">
        <v>0</v>
      </c>
      <c r="I52" s="11">
        <v>3</v>
      </c>
    </row>
    <row r="53" spans="2:9" ht="15.75" customHeight="1" x14ac:dyDescent="0.2">
      <c r="B53" s="43" t="s">
        <v>284</v>
      </c>
      <c r="C53" s="10">
        <v>3</v>
      </c>
      <c r="D53" s="8">
        <v>0</v>
      </c>
      <c r="E53" s="8">
        <v>0</v>
      </c>
      <c r="F53" s="8">
        <v>0</v>
      </c>
      <c r="G53" s="8">
        <v>3</v>
      </c>
      <c r="H53" s="8">
        <v>0</v>
      </c>
      <c r="I53" s="11">
        <v>3</v>
      </c>
    </row>
    <row r="54" spans="2:9" ht="15.75" customHeight="1" x14ac:dyDescent="0.2">
      <c r="B54" s="43" t="s">
        <v>289</v>
      </c>
      <c r="C54" s="10">
        <v>2</v>
      </c>
      <c r="D54" s="8">
        <v>0</v>
      </c>
      <c r="E54" s="8">
        <v>0</v>
      </c>
      <c r="F54" s="8">
        <v>0</v>
      </c>
      <c r="G54" s="8">
        <v>0</v>
      </c>
      <c r="H54" s="8">
        <v>2</v>
      </c>
      <c r="I54" s="11">
        <v>2</v>
      </c>
    </row>
    <row r="55" spans="2:9" ht="15.75" customHeight="1" x14ac:dyDescent="0.2">
      <c r="B55" s="43" t="s">
        <v>294</v>
      </c>
      <c r="C55" s="10">
        <v>2.5</v>
      </c>
      <c r="D55" s="8">
        <v>0</v>
      </c>
      <c r="E55" s="8">
        <v>0</v>
      </c>
      <c r="F55" s="8">
        <v>0</v>
      </c>
      <c r="G55" s="8">
        <v>0</v>
      </c>
      <c r="H55" s="8">
        <v>2.5</v>
      </c>
      <c r="I55" s="11">
        <v>2.5</v>
      </c>
    </row>
    <row r="56" spans="2:9" ht="15.75" customHeight="1" x14ac:dyDescent="0.2">
      <c r="B56" s="43" t="s">
        <v>299</v>
      </c>
      <c r="C56" s="10">
        <v>3</v>
      </c>
      <c r="D56" s="8">
        <v>0</v>
      </c>
      <c r="E56" s="8">
        <v>0</v>
      </c>
      <c r="F56" s="8">
        <v>0</v>
      </c>
      <c r="G56" s="8">
        <v>0</v>
      </c>
      <c r="H56" s="8">
        <v>3</v>
      </c>
      <c r="I56" s="11">
        <v>3</v>
      </c>
    </row>
    <row r="57" spans="2:9" ht="15.75" customHeight="1" x14ac:dyDescent="0.2">
      <c r="B57" s="43" t="s">
        <v>304</v>
      </c>
      <c r="C57" s="10">
        <v>2</v>
      </c>
      <c r="D57" s="8">
        <v>0</v>
      </c>
      <c r="E57" s="8">
        <v>0</v>
      </c>
      <c r="F57" s="8">
        <v>0</v>
      </c>
      <c r="G57" s="8">
        <v>0</v>
      </c>
      <c r="H57" s="8">
        <v>2</v>
      </c>
      <c r="I57" s="11">
        <v>2</v>
      </c>
    </row>
    <row r="58" spans="2:9" ht="15.75" customHeight="1" x14ac:dyDescent="0.2"/>
    <row r="59" spans="2:9" ht="15.75" customHeight="1" x14ac:dyDescent="0.2"/>
    <row r="60" spans="2:9" ht="15.75" customHeight="1" x14ac:dyDescent="0.2">
      <c r="B60" s="12" t="s">
        <v>28</v>
      </c>
      <c r="C60" s="6">
        <f>SUM(C45:C57)</f>
        <v>34.5</v>
      </c>
      <c r="D60" s="6">
        <f>C60-SUM(D45:D57)</f>
        <v>29.5</v>
      </c>
      <c r="E60" s="6">
        <f>D60-SUM(E45:E57)</f>
        <v>23</v>
      </c>
      <c r="F60" s="6">
        <f>E60-SUM(F45:F57)</f>
        <v>15.5</v>
      </c>
      <c r="G60" s="6">
        <f>F60-SUM(G45:G57)</f>
        <v>9.5</v>
      </c>
      <c r="H60" s="6">
        <f>G60-SUM(H45:H57)</f>
        <v>0</v>
      </c>
    </row>
    <row r="61" spans="2:9" ht="15.75" customHeight="1" x14ac:dyDescent="0.2">
      <c r="B61" s="12" t="s">
        <v>29</v>
      </c>
      <c r="C61" s="6">
        <f>SUM(C45:C57)</f>
        <v>34.5</v>
      </c>
      <c r="D61" s="6">
        <f>C61-(SUM(C45:C57)/5)</f>
        <v>27.6</v>
      </c>
      <c r="E61" s="6">
        <f>D61-(SUM(C45:C57)/5)</f>
        <v>20.700000000000003</v>
      </c>
      <c r="F61" s="6">
        <f>E61-(SUM(C45:C57)/5)</f>
        <v>13.800000000000002</v>
      </c>
      <c r="G61" s="6">
        <f>F61-(SUM(C45:C57)/5)</f>
        <v>6.9000000000000021</v>
      </c>
      <c r="H61" s="6">
        <f>G61-(SUM(C45:C57)/5)</f>
        <v>0</v>
      </c>
    </row>
    <row r="62" spans="2:9" ht="15.75" customHeight="1" x14ac:dyDescent="0.2"/>
    <row r="63" spans="2:9" ht="15.75" customHeight="1" x14ac:dyDescent="0.2"/>
    <row r="64" spans="2:9" ht="15.75" customHeight="1" x14ac:dyDescent="0.2"/>
    <row r="65" spans="2:7" ht="15.75" customHeight="1" x14ac:dyDescent="0.2">
      <c r="B65" s="55"/>
      <c r="C65" s="56"/>
      <c r="D65" s="56"/>
      <c r="E65" s="56"/>
      <c r="F65" s="56"/>
      <c r="G65" s="56"/>
    </row>
    <row r="66" spans="2:7" ht="15.75" customHeight="1" x14ac:dyDescent="0.2">
      <c r="B66" s="56"/>
      <c r="C66" s="56"/>
      <c r="D66" s="56"/>
      <c r="E66" s="56"/>
      <c r="F66" s="56"/>
      <c r="G66" s="56"/>
    </row>
    <row r="67" spans="2:7" ht="15.75" customHeight="1" x14ac:dyDescent="0.2">
      <c r="B67" s="56"/>
      <c r="C67" s="56"/>
      <c r="D67" s="56"/>
      <c r="E67" s="56"/>
      <c r="F67" s="56"/>
      <c r="G67" s="56"/>
    </row>
    <row r="68" spans="2:7" ht="15.75" customHeight="1" x14ac:dyDescent="0.2">
      <c r="B68" s="56"/>
      <c r="C68" s="56"/>
      <c r="D68" s="56"/>
      <c r="E68" s="56"/>
      <c r="F68" s="56"/>
      <c r="G68" s="56"/>
    </row>
    <row r="69" spans="2:7" ht="15.75" customHeight="1" x14ac:dyDescent="0.2">
      <c r="B69" s="56"/>
      <c r="C69" s="56"/>
      <c r="D69" s="56"/>
      <c r="E69" s="56"/>
      <c r="F69" s="56"/>
      <c r="G69" s="56"/>
    </row>
    <row r="70" spans="2:7" ht="15.75" customHeight="1" x14ac:dyDescent="0.2">
      <c r="B70" s="56"/>
      <c r="C70" s="56"/>
      <c r="D70" s="56"/>
      <c r="E70" s="56"/>
      <c r="F70" s="56"/>
      <c r="G70" s="56"/>
    </row>
    <row r="71" spans="2:7" ht="15.75" customHeight="1" x14ac:dyDescent="0.2">
      <c r="B71" s="56"/>
      <c r="C71" s="56"/>
      <c r="D71" s="56"/>
      <c r="E71" s="56"/>
      <c r="F71" s="56"/>
      <c r="G71" s="56"/>
    </row>
    <row r="72" spans="2:7" ht="15.75" customHeight="1" x14ac:dyDescent="0.2">
      <c r="B72" s="56"/>
      <c r="C72" s="56"/>
      <c r="D72" s="56"/>
      <c r="E72" s="56"/>
      <c r="F72" s="56"/>
      <c r="G72" s="56"/>
    </row>
    <row r="73" spans="2:7" ht="15.75" customHeight="1" x14ac:dyDescent="0.2"/>
    <row r="74" spans="2:7" ht="15.75" customHeight="1" x14ac:dyDescent="0.2"/>
    <row r="75" spans="2:7" ht="15.75" customHeight="1" x14ac:dyDescent="0.2"/>
    <row r="76" spans="2:7" ht="15.75" customHeight="1" x14ac:dyDescent="0.2"/>
    <row r="77" spans="2:7" ht="15.75" customHeight="1" x14ac:dyDescent="0.2"/>
    <row r="78" spans="2:7" ht="15.75" customHeight="1" x14ac:dyDescent="0.2"/>
    <row r="79" spans="2:7" ht="15.75" customHeight="1" x14ac:dyDescent="0.2"/>
    <row r="80" spans="2:7" ht="15.75" customHeight="1" x14ac:dyDescent="0.2"/>
    <row r="81" spans="2:9" ht="15.75" customHeight="1" x14ac:dyDescent="0.2"/>
    <row r="82" spans="2:9" ht="15.75" customHeight="1" x14ac:dyDescent="0.2"/>
    <row r="83" spans="2:9" ht="15.75" customHeight="1" x14ac:dyDescent="0.2">
      <c r="B83" s="54" t="s">
        <v>474</v>
      </c>
      <c r="C83" s="54"/>
      <c r="D83" s="54"/>
      <c r="E83" s="54"/>
      <c r="F83" s="54"/>
      <c r="G83" s="54"/>
      <c r="H83" s="54"/>
      <c r="I83" s="54"/>
    </row>
    <row r="84" spans="2:9" ht="15.75" customHeight="1" x14ac:dyDescent="0.2"/>
    <row r="85" spans="2:9" ht="15.75" customHeight="1" x14ac:dyDescent="0.2">
      <c r="B85" s="6" t="s">
        <v>15</v>
      </c>
      <c r="C85" s="6" t="s">
        <v>21</v>
      </c>
      <c r="D85" s="6" t="s">
        <v>477</v>
      </c>
      <c r="E85" s="6" t="s">
        <v>478</v>
      </c>
      <c r="F85" s="6" t="s">
        <v>479</v>
      </c>
      <c r="G85" s="6" t="s">
        <v>480</v>
      </c>
      <c r="H85" s="6" t="s">
        <v>481</v>
      </c>
      <c r="I85" s="6" t="s">
        <v>482</v>
      </c>
    </row>
    <row r="86" spans="2:9" ht="15.75" customHeight="1" x14ac:dyDescent="0.2">
      <c r="B86" s="43" t="s">
        <v>310</v>
      </c>
      <c r="C86" s="10">
        <v>2.5</v>
      </c>
      <c r="D86" s="8">
        <v>2.5</v>
      </c>
      <c r="E86" s="8">
        <v>0</v>
      </c>
      <c r="F86" s="8">
        <v>0</v>
      </c>
      <c r="G86" s="8">
        <v>0</v>
      </c>
      <c r="H86" s="8">
        <v>0</v>
      </c>
      <c r="I86" s="11">
        <v>2.5</v>
      </c>
    </row>
    <row r="87" spans="2:9" ht="15.75" customHeight="1" x14ac:dyDescent="0.2">
      <c r="B87" s="43" t="s">
        <v>315</v>
      </c>
      <c r="C87" s="10">
        <v>2.5</v>
      </c>
      <c r="D87" s="8">
        <v>0</v>
      </c>
      <c r="E87" s="8">
        <v>2.5</v>
      </c>
      <c r="F87" s="8">
        <v>0</v>
      </c>
      <c r="G87" s="8">
        <v>0</v>
      </c>
      <c r="H87" s="8">
        <v>0</v>
      </c>
      <c r="I87" s="11">
        <v>2.5</v>
      </c>
    </row>
    <row r="88" spans="2:9" ht="15.75" customHeight="1" x14ac:dyDescent="0.2">
      <c r="B88" s="43" t="s">
        <v>320</v>
      </c>
      <c r="C88" s="10">
        <v>2</v>
      </c>
      <c r="D88" s="8">
        <v>0</v>
      </c>
      <c r="E88" s="8">
        <v>0</v>
      </c>
      <c r="F88" s="8">
        <v>2</v>
      </c>
      <c r="G88" s="8">
        <v>0</v>
      </c>
      <c r="H88" s="8">
        <v>0</v>
      </c>
      <c r="I88" s="11">
        <v>2</v>
      </c>
    </row>
    <row r="89" spans="2:9" ht="15.75" customHeight="1" x14ac:dyDescent="0.2">
      <c r="B89" s="43" t="s">
        <v>327</v>
      </c>
      <c r="C89" s="10">
        <v>3</v>
      </c>
      <c r="D89" s="8">
        <v>3</v>
      </c>
      <c r="E89" s="8">
        <v>0</v>
      </c>
      <c r="F89" s="8">
        <v>0</v>
      </c>
      <c r="G89" s="8">
        <v>0</v>
      </c>
      <c r="H89" s="8">
        <v>0</v>
      </c>
      <c r="I89" s="11">
        <v>3</v>
      </c>
    </row>
    <row r="90" spans="2:9" ht="15.75" customHeight="1" x14ac:dyDescent="0.2">
      <c r="B90" s="43" t="s">
        <v>332</v>
      </c>
      <c r="C90" s="10">
        <v>3</v>
      </c>
      <c r="D90" s="8">
        <v>0</v>
      </c>
      <c r="E90" s="8">
        <v>3</v>
      </c>
      <c r="F90" s="8">
        <v>0</v>
      </c>
      <c r="G90" s="8">
        <v>0</v>
      </c>
      <c r="H90" s="8">
        <v>0</v>
      </c>
      <c r="I90" s="11">
        <v>3</v>
      </c>
    </row>
    <row r="91" spans="2:9" ht="15.75" customHeight="1" x14ac:dyDescent="0.2">
      <c r="B91" s="43" t="s">
        <v>337</v>
      </c>
      <c r="C91" s="10">
        <v>3</v>
      </c>
      <c r="D91" s="8">
        <v>0</v>
      </c>
      <c r="E91" s="8">
        <v>0</v>
      </c>
      <c r="F91" s="8">
        <v>3</v>
      </c>
      <c r="G91" s="8">
        <v>0</v>
      </c>
      <c r="H91" s="8">
        <v>0</v>
      </c>
      <c r="I91" s="11">
        <v>3</v>
      </c>
    </row>
    <row r="92" spans="2:9" ht="15.75" customHeight="1" x14ac:dyDescent="0.2">
      <c r="B92" s="43" t="s">
        <v>343</v>
      </c>
      <c r="C92" s="10">
        <v>2.5</v>
      </c>
      <c r="D92" s="8">
        <v>0</v>
      </c>
      <c r="E92" s="8">
        <v>0</v>
      </c>
      <c r="F92" s="8">
        <v>0</v>
      </c>
      <c r="G92" s="8">
        <v>2.5</v>
      </c>
      <c r="H92" s="8">
        <v>0</v>
      </c>
      <c r="I92" s="11">
        <v>2.5</v>
      </c>
    </row>
    <row r="93" spans="2:9" ht="15.75" customHeight="1" x14ac:dyDescent="0.2">
      <c r="B93" s="43" t="s">
        <v>348</v>
      </c>
      <c r="C93" s="10">
        <v>3</v>
      </c>
      <c r="D93" s="8">
        <v>0</v>
      </c>
      <c r="E93" s="8">
        <v>0</v>
      </c>
      <c r="F93" s="8">
        <v>0</v>
      </c>
      <c r="G93" s="8">
        <v>3</v>
      </c>
      <c r="H93" s="8">
        <v>0</v>
      </c>
      <c r="I93" s="11">
        <v>3</v>
      </c>
    </row>
    <row r="94" spans="2:9" ht="15.75" customHeight="1" x14ac:dyDescent="0.2">
      <c r="B94" s="43" t="s">
        <v>353</v>
      </c>
      <c r="C94" s="10">
        <v>3</v>
      </c>
      <c r="D94" s="8">
        <v>0</v>
      </c>
      <c r="E94" s="8">
        <v>0</v>
      </c>
      <c r="F94" s="8">
        <v>0</v>
      </c>
      <c r="G94" s="8">
        <v>0</v>
      </c>
      <c r="H94" s="8">
        <v>3</v>
      </c>
      <c r="I94" s="11">
        <v>3</v>
      </c>
    </row>
    <row r="95" spans="2:9" ht="15.75" customHeight="1" x14ac:dyDescent="0.2">
      <c r="B95" s="43" t="s">
        <v>359</v>
      </c>
      <c r="C95" s="10">
        <v>2</v>
      </c>
      <c r="D95" s="8">
        <v>0</v>
      </c>
      <c r="E95" s="8">
        <v>0</v>
      </c>
      <c r="F95" s="8">
        <v>0</v>
      </c>
      <c r="G95" s="8">
        <v>2</v>
      </c>
      <c r="H95" s="8">
        <v>0</v>
      </c>
      <c r="I95" s="11">
        <v>2</v>
      </c>
    </row>
    <row r="96" spans="2:9" ht="15.75" customHeight="1" x14ac:dyDescent="0.2">
      <c r="B96" s="43" t="s">
        <v>364</v>
      </c>
      <c r="C96" s="10">
        <v>2.5</v>
      </c>
      <c r="D96" s="8">
        <v>0</v>
      </c>
      <c r="E96" s="8">
        <v>0</v>
      </c>
      <c r="F96" s="8">
        <v>0</v>
      </c>
      <c r="G96" s="8">
        <v>0</v>
      </c>
      <c r="H96" s="8">
        <v>2.5</v>
      </c>
      <c r="I96" s="11">
        <v>2.5</v>
      </c>
    </row>
    <row r="97" spans="2:9" ht="15.75" customHeight="1" x14ac:dyDescent="0.2">
      <c r="B97" s="43" t="s">
        <v>369</v>
      </c>
      <c r="C97" s="10">
        <v>3</v>
      </c>
      <c r="D97" s="8">
        <v>0</v>
      </c>
      <c r="E97" s="8">
        <v>0</v>
      </c>
      <c r="F97" s="8">
        <v>0</v>
      </c>
      <c r="G97" s="8">
        <v>0</v>
      </c>
      <c r="H97" s="8">
        <v>3</v>
      </c>
      <c r="I97" s="11">
        <v>3</v>
      </c>
    </row>
    <row r="98" spans="2:9" ht="15.75" customHeight="1" x14ac:dyDescent="0.2"/>
    <row r="99" spans="2:9" ht="15.75" customHeight="1" x14ac:dyDescent="0.2"/>
    <row r="100" spans="2:9" ht="15.75" customHeight="1" x14ac:dyDescent="0.2">
      <c r="B100" s="12" t="s">
        <v>28</v>
      </c>
      <c r="C100" s="6">
        <f>SUM(C86:C97)</f>
        <v>32</v>
      </c>
      <c r="D100" s="6">
        <f>C100-SUM(D86:D97)</f>
        <v>26.5</v>
      </c>
      <c r="E100" s="6">
        <f>D100-SUM(E86:E97)</f>
        <v>21</v>
      </c>
      <c r="F100" s="6">
        <f>E100-SUM(F86:F97)</f>
        <v>16</v>
      </c>
      <c r="G100" s="6">
        <f>F100-SUM(G86:G97)</f>
        <v>8.5</v>
      </c>
      <c r="H100" s="6">
        <f>G100-SUM(H86:H97)</f>
        <v>0</v>
      </c>
    </row>
    <row r="101" spans="2:9" ht="15.75" customHeight="1" x14ac:dyDescent="0.2">
      <c r="B101" s="12" t="s">
        <v>29</v>
      </c>
      <c r="C101" s="6">
        <f>SUM(C86:C97)</f>
        <v>32</v>
      </c>
      <c r="D101" s="6">
        <f>C101-(SUM(C86:C97)/5)</f>
        <v>25.6</v>
      </c>
      <c r="E101" s="6">
        <f>D101-(SUM(C86:C97)/5)</f>
        <v>19.200000000000003</v>
      </c>
      <c r="F101" s="6">
        <f>E101-(SUM(C86:C97)/5)</f>
        <v>12.800000000000002</v>
      </c>
      <c r="G101" s="6">
        <f>F101-(SUM(C86:C97)/5)</f>
        <v>6.4000000000000021</v>
      </c>
      <c r="H101" s="6">
        <f>G101-(SUM(C86:C97)/5)</f>
        <v>0</v>
      </c>
    </row>
    <row r="102" spans="2:9" ht="15.75" customHeight="1" x14ac:dyDescent="0.2"/>
    <row r="103" spans="2:9" ht="15.75" customHeight="1" x14ac:dyDescent="0.2"/>
    <row r="104" spans="2:9" ht="15.75" customHeight="1" x14ac:dyDescent="0.2"/>
    <row r="105" spans="2:9" ht="15.75" customHeight="1" x14ac:dyDescent="0.2"/>
    <row r="106" spans="2:9" ht="15.75" customHeight="1" x14ac:dyDescent="0.2"/>
    <row r="107" spans="2:9" ht="15.75" customHeight="1" x14ac:dyDescent="0.2"/>
    <row r="108" spans="2:9" ht="15.75" customHeight="1" x14ac:dyDescent="0.2"/>
    <row r="109" spans="2:9" ht="15.75" customHeight="1" x14ac:dyDescent="0.2"/>
    <row r="110" spans="2:9" ht="15.75" customHeight="1" x14ac:dyDescent="0.2"/>
    <row r="111" spans="2:9" ht="15.75" customHeight="1" x14ac:dyDescent="0.2"/>
    <row r="112" spans="2:9" ht="15.75" customHeight="1" x14ac:dyDescent="0.2"/>
    <row r="113" spans="2:9" ht="15.75" customHeight="1" x14ac:dyDescent="0.2"/>
    <row r="114" spans="2:9" ht="15.75" customHeight="1" x14ac:dyDescent="0.2">
      <c r="B114" s="54" t="s">
        <v>475</v>
      </c>
      <c r="C114" s="54"/>
      <c r="D114" s="54"/>
      <c r="E114" s="54"/>
      <c r="F114" s="54"/>
      <c r="G114" s="54"/>
      <c r="H114" s="54"/>
      <c r="I114" s="54"/>
    </row>
    <row r="115" spans="2:9" ht="15.75" customHeight="1" x14ac:dyDescent="0.2"/>
    <row r="116" spans="2:9" ht="15.75" customHeight="1" x14ac:dyDescent="0.2">
      <c r="B116" s="6" t="s">
        <v>15</v>
      </c>
      <c r="C116" s="6" t="s">
        <v>21</v>
      </c>
      <c r="D116" s="6" t="s">
        <v>477</v>
      </c>
      <c r="E116" s="6" t="s">
        <v>478</v>
      </c>
      <c r="F116" s="6" t="s">
        <v>479</v>
      </c>
      <c r="G116" s="6" t="s">
        <v>480</v>
      </c>
      <c r="H116" s="6" t="s">
        <v>481</v>
      </c>
      <c r="I116" s="6" t="s">
        <v>482</v>
      </c>
    </row>
    <row r="117" spans="2:9" ht="15.75" customHeight="1" x14ac:dyDescent="0.2">
      <c r="B117" s="43" t="s">
        <v>375</v>
      </c>
      <c r="C117" s="10">
        <v>3</v>
      </c>
      <c r="D117" s="8">
        <v>3</v>
      </c>
      <c r="E117" s="8">
        <v>0</v>
      </c>
      <c r="F117" s="8">
        <v>0</v>
      </c>
      <c r="G117" s="8">
        <v>0</v>
      </c>
      <c r="H117" s="8">
        <v>0</v>
      </c>
      <c r="I117" s="11">
        <v>3</v>
      </c>
    </row>
    <row r="118" spans="2:9" ht="15.75" customHeight="1" x14ac:dyDescent="0.2">
      <c r="B118" s="43" t="s">
        <v>380</v>
      </c>
      <c r="C118" s="10">
        <v>4</v>
      </c>
      <c r="D118" s="8">
        <v>0</v>
      </c>
      <c r="E118" s="8">
        <v>4</v>
      </c>
      <c r="F118" s="8">
        <v>0</v>
      </c>
      <c r="G118" s="8">
        <v>0</v>
      </c>
      <c r="H118" s="8">
        <v>0</v>
      </c>
      <c r="I118" s="11">
        <v>4</v>
      </c>
    </row>
    <row r="119" spans="2:9" ht="15.75" customHeight="1" x14ac:dyDescent="0.2">
      <c r="B119" s="43" t="s">
        <v>385</v>
      </c>
      <c r="C119" s="10">
        <v>3</v>
      </c>
      <c r="D119" s="8">
        <v>0</v>
      </c>
      <c r="E119" s="8">
        <v>0</v>
      </c>
      <c r="F119" s="8">
        <v>3</v>
      </c>
      <c r="G119" s="8">
        <v>0</v>
      </c>
      <c r="H119" s="8">
        <v>0</v>
      </c>
      <c r="I119" s="11">
        <v>3</v>
      </c>
    </row>
    <row r="120" spans="2:9" ht="15.75" customHeight="1" x14ac:dyDescent="0.2">
      <c r="B120" s="43" t="s">
        <v>391</v>
      </c>
      <c r="C120" s="10">
        <v>2</v>
      </c>
      <c r="D120" s="8">
        <v>2</v>
      </c>
      <c r="E120" s="8">
        <v>0</v>
      </c>
      <c r="F120" s="8">
        <v>0</v>
      </c>
      <c r="G120" s="8">
        <v>0</v>
      </c>
      <c r="H120" s="8">
        <v>0</v>
      </c>
      <c r="I120" s="11">
        <v>2</v>
      </c>
    </row>
    <row r="121" spans="2:9" ht="15.75" customHeight="1" x14ac:dyDescent="0.2">
      <c r="B121" s="43" t="s">
        <v>396</v>
      </c>
      <c r="C121" s="10">
        <v>2</v>
      </c>
      <c r="D121" s="8">
        <v>0</v>
      </c>
      <c r="E121" s="8">
        <v>2</v>
      </c>
      <c r="F121" s="8">
        <v>0</v>
      </c>
      <c r="G121" s="8">
        <v>0</v>
      </c>
      <c r="H121" s="8">
        <v>0</v>
      </c>
      <c r="I121" s="11">
        <v>2</v>
      </c>
    </row>
    <row r="122" spans="2:9" ht="15.75" customHeight="1" x14ac:dyDescent="0.2">
      <c r="B122" s="43" t="s">
        <v>401</v>
      </c>
      <c r="C122" s="10">
        <v>2</v>
      </c>
      <c r="D122" s="8">
        <v>0</v>
      </c>
      <c r="E122" s="8">
        <v>0</v>
      </c>
      <c r="F122" s="8">
        <v>2</v>
      </c>
      <c r="G122" s="8">
        <v>0</v>
      </c>
      <c r="H122" s="8">
        <v>0</v>
      </c>
      <c r="I122" s="11">
        <v>2</v>
      </c>
    </row>
    <row r="123" spans="2:9" ht="15.75" customHeight="1" x14ac:dyDescent="0.2">
      <c r="B123" s="43" t="s">
        <v>407</v>
      </c>
      <c r="C123" s="10">
        <v>3</v>
      </c>
      <c r="D123" s="8">
        <v>0</v>
      </c>
      <c r="E123" s="8">
        <v>0</v>
      </c>
      <c r="F123" s="8">
        <v>0</v>
      </c>
      <c r="G123" s="8">
        <v>3</v>
      </c>
      <c r="H123" s="8">
        <v>0</v>
      </c>
      <c r="I123" s="11">
        <v>3</v>
      </c>
    </row>
    <row r="124" spans="2:9" ht="15.75" customHeight="1" x14ac:dyDescent="0.2">
      <c r="B124" s="43" t="s">
        <v>412</v>
      </c>
      <c r="C124" s="10">
        <v>3</v>
      </c>
      <c r="D124" s="8">
        <v>0</v>
      </c>
      <c r="E124" s="8">
        <v>0</v>
      </c>
      <c r="F124" s="8">
        <v>0</v>
      </c>
      <c r="G124" s="8">
        <v>3</v>
      </c>
      <c r="H124" s="8">
        <v>0</v>
      </c>
      <c r="I124" s="11">
        <v>3</v>
      </c>
    </row>
    <row r="125" spans="2:9" ht="15.75" customHeight="1" x14ac:dyDescent="0.2">
      <c r="B125" s="43" t="s">
        <v>417</v>
      </c>
      <c r="C125" s="10">
        <v>3</v>
      </c>
      <c r="D125" s="8">
        <v>0</v>
      </c>
      <c r="E125" s="8">
        <v>0</v>
      </c>
      <c r="F125" s="8">
        <v>0</v>
      </c>
      <c r="G125" s="8">
        <v>0</v>
      </c>
      <c r="H125" s="8">
        <v>3</v>
      </c>
      <c r="I125" s="11">
        <v>3</v>
      </c>
    </row>
    <row r="126" spans="2:9" ht="15.75" customHeight="1" x14ac:dyDescent="0.2">
      <c r="B126" s="43" t="s">
        <v>424</v>
      </c>
      <c r="C126" s="10">
        <v>3</v>
      </c>
      <c r="D126" s="8">
        <v>0</v>
      </c>
      <c r="E126" s="8">
        <v>0</v>
      </c>
      <c r="F126" s="8">
        <v>0</v>
      </c>
      <c r="G126" s="8">
        <v>3</v>
      </c>
      <c r="H126" s="8">
        <v>0</v>
      </c>
      <c r="I126" s="11">
        <v>3</v>
      </c>
    </row>
    <row r="127" spans="2:9" ht="15.75" customHeight="1" x14ac:dyDescent="0.2">
      <c r="B127" s="43" t="s">
        <v>429</v>
      </c>
      <c r="C127" s="10">
        <v>3</v>
      </c>
      <c r="D127" s="8">
        <v>0</v>
      </c>
      <c r="E127" s="8">
        <v>0</v>
      </c>
      <c r="F127" s="8">
        <v>0</v>
      </c>
      <c r="G127" s="8">
        <v>0</v>
      </c>
      <c r="H127" s="8">
        <v>3</v>
      </c>
      <c r="I127" s="11">
        <v>3</v>
      </c>
    </row>
    <row r="128" spans="2:9" ht="15.75" customHeight="1" x14ac:dyDescent="0.2">
      <c r="B128" s="43" t="s">
        <v>434</v>
      </c>
      <c r="C128" s="10">
        <v>2</v>
      </c>
      <c r="D128" s="8">
        <v>0</v>
      </c>
      <c r="E128" s="8">
        <v>0</v>
      </c>
      <c r="F128" s="8">
        <v>0</v>
      </c>
      <c r="G128" s="8">
        <v>0</v>
      </c>
      <c r="H128" s="8">
        <v>2</v>
      </c>
      <c r="I128" s="11">
        <v>2</v>
      </c>
    </row>
    <row r="129" spans="2:9" ht="15.75" customHeight="1" x14ac:dyDescent="0.2"/>
    <row r="130" spans="2:9" ht="15.75" customHeight="1" x14ac:dyDescent="0.2"/>
    <row r="131" spans="2:9" ht="15.75" customHeight="1" x14ac:dyDescent="0.2">
      <c r="B131" s="12" t="s">
        <v>28</v>
      </c>
      <c r="C131" s="6">
        <f>SUM(C117:C128)</f>
        <v>33</v>
      </c>
      <c r="D131" s="6">
        <f>C131-SUM(D117:D128)</f>
        <v>28</v>
      </c>
      <c r="E131" s="6">
        <f>D131-SUM(E117:E128)</f>
        <v>22</v>
      </c>
      <c r="F131" s="6">
        <f>E131-SUM(F117:F128)</f>
        <v>17</v>
      </c>
      <c r="G131" s="6">
        <f>F131-SUM(G117:G128)</f>
        <v>8</v>
      </c>
      <c r="H131" s="6">
        <f>G131-SUM(H117:H128)</f>
        <v>0</v>
      </c>
    </row>
    <row r="132" spans="2:9" ht="15.75" customHeight="1" x14ac:dyDescent="0.2">
      <c r="B132" s="12" t="s">
        <v>29</v>
      </c>
      <c r="C132" s="6">
        <f>SUM(C117:C128)</f>
        <v>33</v>
      </c>
      <c r="D132" s="6">
        <f>C132-(SUM(C117:C128)/5)</f>
        <v>26.4</v>
      </c>
      <c r="E132" s="6">
        <f>D132-(SUM(C117:C128)/5)</f>
        <v>19.799999999999997</v>
      </c>
      <c r="F132" s="6">
        <f>E132-(SUM(C117:C128)/5)</f>
        <v>13.199999999999998</v>
      </c>
      <c r="G132" s="6">
        <f>F132-(SUM(C117:C128)/5)</f>
        <v>6.5999999999999979</v>
      </c>
      <c r="H132" s="6">
        <f>G132-(SUM(C117:C128)/5)</f>
        <v>0</v>
      </c>
    </row>
    <row r="133" spans="2:9" ht="15.75" customHeight="1" x14ac:dyDescent="0.2"/>
    <row r="134" spans="2:9" ht="15.75" customHeight="1" x14ac:dyDescent="0.2"/>
    <row r="135" spans="2:9" ht="15.75" customHeight="1" x14ac:dyDescent="0.2"/>
    <row r="136" spans="2:9" ht="15.75" customHeight="1" x14ac:dyDescent="0.2">
      <c r="B136" s="44"/>
      <c r="C136" s="45"/>
      <c r="D136" s="45"/>
      <c r="E136" s="45"/>
      <c r="F136" s="45"/>
      <c r="G136" s="45"/>
    </row>
    <row r="137" spans="2:9" ht="15.75" customHeight="1" x14ac:dyDescent="0.2"/>
    <row r="138" spans="2:9" ht="15.75" customHeight="1" x14ac:dyDescent="0.2"/>
    <row r="139" spans="2:9" ht="15.75" customHeight="1" x14ac:dyDescent="0.2"/>
    <row r="140" spans="2:9" ht="15.75" customHeight="1" x14ac:dyDescent="0.2">
      <c r="B140" s="54" t="s">
        <v>476</v>
      </c>
      <c r="C140" s="54"/>
      <c r="D140" s="54"/>
      <c r="E140" s="54"/>
      <c r="F140" s="54"/>
      <c r="G140" s="54"/>
      <c r="H140" s="54"/>
      <c r="I140" s="54"/>
    </row>
    <row r="141" spans="2:9" ht="15.75" customHeight="1" x14ac:dyDescent="0.2"/>
    <row r="142" spans="2:9" ht="15.75" customHeight="1" x14ac:dyDescent="0.2">
      <c r="B142" s="6" t="s">
        <v>15</v>
      </c>
      <c r="C142" s="6" t="s">
        <v>21</v>
      </c>
      <c r="D142" s="6" t="s">
        <v>477</v>
      </c>
      <c r="E142" s="6" t="s">
        <v>478</v>
      </c>
      <c r="F142" s="6" t="s">
        <v>479</v>
      </c>
      <c r="G142" s="6" t="s">
        <v>480</v>
      </c>
      <c r="H142" s="6" t="s">
        <v>481</v>
      </c>
      <c r="I142" s="6" t="s">
        <v>482</v>
      </c>
    </row>
    <row r="143" spans="2:9" ht="15.75" customHeight="1" x14ac:dyDescent="0.2">
      <c r="B143" s="43" t="s">
        <v>441</v>
      </c>
      <c r="C143" s="10">
        <v>3</v>
      </c>
      <c r="D143" s="8">
        <v>3</v>
      </c>
      <c r="E143" s="8">
        <v>0</v>
      </c>
      <c r="F143" s="8">
        <v>0</v>
      </c>
      <c r="G143" s="8">
        <v>0</v>
      </c>
      <c r="H143" s="8">
        <v>0</v>
      </c>
      <c r="I143" s="11">
        <v>3</v>
      </c>
    </row>
    <row r="144" spans="2:9" ht="15.75" customHeight="1" x14ac:dyDescent="0.2">
      <c r="B144" s="43" t="s">
        <v>446</v>
      </c>
      <c r="C144" s="10">
        <v>4</v>
      </c>
      <c r="D144" s="8">
        <v>0</v>
      </c>
      <c r="E144" s="8">
        <v>4</v>
      </c>
      <c r="F144" s="8">
        <v>0</v>
      </c>
      <c r="G144" s="8">
        <v>0</v>
      </c>
      <c r="H144" s="8">
        <v>0</v>
      </c>
      <c r="I144" s="11">
        <v>4</v>
      </c>
    </row>
    <row r="145" spans="2:9" ht="15.75" customHeight="1" x14ac:dyDescent="0.2">
      <c r="B145" s="43" t="s">
        <v>451</v>
      </c>
      <c r="C145" s="10">
        <v>3</v>
      </c>
      <c r="D145" s="8">
        <v>0</v>
      </c>
      <c r="E145" s="8">
        <v>0</v>
      </c>
      <c r="F145" s="8">
        <v>3</v>
      </c>
      <c r="G145" s="8">
        <v>0</v>
      </c>
      <c r="H145" s="8">
        <v>0</v>
      </c>
      <c r="I145" s="11">
        <v>3</v>
      </c>
    </row>
    <row r="146" spans="2:9" ht="15.75" customHeight="1" x14ac:dyDescent="0.2">
      <c r="B146" s="43" t="s">
        <v>457</v>
      </c>
      <c r="C146" s="10">
        <v>3</v>
      </c>
      <c r="D146" s="8">
        <v>0</v>
      </c>
      <c r="E146" s="8">
        <v>0</v>
      </c>
      <c r="F146" s="8">
        <v>0</v>
      </c>
      <c r="G146" s="8">
        <v>3</v>
      </c>
      <c r="H146" s="8">
        <v>0</v>
      </c>
      <c r="I146" s="11">
        <v>3</v>
      </c>
    </row>
    <row r="147" spans="2:9" ht="15.75" customHeight="1" x14ac:dyDescent="0.2">
      <c r="B147" s="43" t="s">
        <v>462</v>
      </c>
      <c r="C147" s="10">
        <v>3</v>
      </c>
      <c r="D147" s="8">
        <v>0</v>
      </c>
      <c r="E147" s="8">
        <v>0</v>
      </c>
      <c r="F147" s="8">
        <v>0</v>
      </c>
      <c r="G147" s="8">
        <v>3</v>
      </c>
      <c r="H147" s="8">
        <v>0</v>
      </c>
      <c r="I147" s="11">
        <v>3</v>
      </c>
    </row>
    <row r="148" spans="2:9" ht="15.75" customHeight="1" x14ac:dyDescent="0.2">
      <c r="B148" s="43" t="s">
        <v>467</v>
      </c>
      <c r="C148" s="10">
        <v>2.5</v>
      </c>
      <c r="D148" s="8">
        <v>0</v>
      </c>
      <c r="E148" s="8">
        <v>0</v>
      </c>
      <c r="F148" s="8">
        <v>0</v>
      </c>
      <c r="G148" s="8">
        <v>0</v>
      </c>
      <c r="H148" s="8">
        <v>2.5</v>
      </c>
      <c r="I148" s="11">
        <v>2.5</v>
      </c>
    </row>
    <row r="149" spans="2:9" ht="15.75" customHeight="1" x14ac:dyDescent="0.2"/>
    <row r="150" spans="2:9" ht="15.75" customHeight="1" x14ac:dyDescent="0.2"/>
    <row r="151" spans="2:9" ht="15.75" customHeight="1" x14ac:dyDescent="0.2">
      <c r="B151" s="12" t="s">
        <v>28</v>
      </c>
      <c r="C151" s="6">
        <f>SUM(C143:C148)</f>
        <v>18.5</v>
      </c>
      <c r="D151" s="6">
        <f>C151-SUM(D143:D148)</f>
        <v>15.5</v>
      </c>
      <c r="E151" s="6">
        <f>D151-SUM(E143:E148)</f>
        <v>11.5</v>
      </c>
      <c r="F151" s="6">
        <f>E151-SUM(F143:F148)</f>
        <v>8.5</v>
      </c>
      <c r="G151" s="6">
        <f>F151-SUM(G143:G148)</f>
        <v>2.5</v>
      </c>
      <c r="H151" s="6">
        <f>G151-SUM(H143:H148)</f>
        <v>0</v>
      </c>
    </row>
    <row r="152" spans="2:9" ht="15.75" customHeight="1" x14ac:dyDescent="0.2">
      <c r="B152" s="12" t="s">
        <v>29</v>
      </c>
      <c r="C152" s="6">
        <f>SUM(C143:C148)</f>
        <v>18.5</v>
      </c>
      <c r="D152" s="6">
        <f>C152-(SUM(C143:C148)/5)</f>
        <v>14.8</v>
      </c>
      <c r="E152" s="6">
        <f>D152-(SUM(C143:C148)/5)</f>
        <v>11.100000000000001</v>
      </c>
      <c r="F152" s="6">
        <f>E152-(SUM(C143:C148)/5)</f>
        <v>7.4000000000000012</v>
      </c>
      <c r="G152" s="6">
        <f>F152-(SUM(C143:C148)/5)</f>
        <v>3.7000000000000011</v>
      </c>
      <c r="H152" s="6">
        <f>G152-(SUM(C143:C148)/5)</f>
        <v>0</v>
      </c>
    </row>
    <row r="153" spans="2:9" ht="15.75" customHeight="1" x14ac:dyDescent="0.2"/>
    <row r="154" spans="2:9" ht="15.75" customHeight="1" x14ac:dyDescent="0.2"/>
    <row r="155" spans="2:9" ht="15.75" customHeight="1" x14ac:dyDescent="0.2"/>
    <row r="156" spans="2:9" ht="15.75" customHeight="1" x14ac:dyDescent="0.2">
      <c r="B156" s="44"/>
      <c r="C156" s="45"/>
      <c r="D156" s="45"/>
      <c r="E156" s="45"/>
      <c r="F156" s="45"/>
      <c r="G156" s="45"/>
    </row>
    <row r="157" spans="2:9" ht="15.75" customHeight="1" x14ac:dyDescent="0.2">
      <c r="B157" s="45"/>
      <c r="C157" s="45"/>
      <c r="D157" s="45"/>
      <c r="E157" s="45"/>
      <c r="F157" s="45"/>
      <c r="G157" s="45"/>
    </row>
    <row r="158" spans="2:9" ht="15.75" customHeight="1" x14ac:dyDescent="0.2">
      <c r="B158" s="45"/>
      <c r="C158" s="45"/>
      <c r="D158" s="45"/>
      <c r="E158" s="45"/>
      <c r="F158" s="45"/>
      <c r="G158" s="45"/>
    </row>
    <row r="159" spans="2:9" ht="15.75" customHeight="1" x14ac:dyDescent="0.2">
      <c r="B159" s="45"/>
      <c r="C159" s="45"/>
      <c r="D159" s="45"/>
      <c r="E159" s="45"/>
      <c r="F159" s="45"/>
      <c r="G159" s="45"/>
    </row>
    <row r="160" spans="2:9" ht="15.75" customHeight="1" x14ac:dyDescent="0.2">
      <c r="B160" s="45"/>
      <c r="C160" s="45"/>
      <c r="D160" s="45"/>
      <c r="E160" s="45"/>
      <c r="F160" s="45"/>
      <c r="G160" s="45"/>
    </row>
    <row r="161" spans="2:17" ht="15.75" customHeight="1" x14ac:dyDescent="0.2">
      <c r="B161" s="45"/>
      <c r="C161" s="45"/>
      <c r="D161" s="45"/>
      <c r="E161" s="45"/>
      <c r="F161" s="45"/>
      <c r="G161" s="45"/>
    </row>
    <row r="162" spans="2:17" ht="15.75" customHeight="1" x14ac:dyDescent="0.2">
      <c r="B162" s="45"/>
      <c r="C162" s="45"/>
      <c r="D162" s="45"/>
      <c r="E162" s="45"/>
      <c r="F162" s="45"/>
      <c r="G162" s="45"/>
    </row>
    <row r="163" spans="2:17" ht="15.75" customHeight="1" x14ac:dyDescent="0.2">
      <c r="B163" s="45"/>
      <c r="C163" s="45"/>
      <c r="D163" s="45"/>
      <c r="E163" s="45"/>
      <c r="F163" s="45"/>
      <c r="G163" s="45"/>
    </row>
    <row r="164" spans="2:17" ht="15.75" customHeight="1" x14ac:dyDescent="0.2"/>
    <row r="165" spans="2:17" ht="15.75" customHeight="1" x14ac:dyDescent="0.2"/>
    <row r="166" spans="2:17" ht="15.75" customHeight="1" x14ac:dyDescent="0.2">
      <c r="B166" s="54" t="s">
        <v>483</v>
      </c>
      <c r="C166" s="54"/>
      <c r="D166" s="54"/>
      <c r="E166" s="54"/>
      <c r="F166" s="54"/>
      <c r="G166" s="54"/>
      <c r="H166" s="54"/>
      <c r="I166" s="54"/>
      <c r="J166" s="41"/>
      <c r="K166" s="41"/>
      <c r="L166" s="41"/>
      <c r="M166" s="41"/>
      <c r="N166" s="41"/>
      <c r="O166" s="41"/>
      <c r="P166" s="41"/>
      <c r="Q166" s="41"/>
    </row>
    <row r="167" spans="2:17" ht="15.75" customHeight="1" x14ac:dyDescent="0.2">
      <c r="B167" s="41"/>
      <c r="C167" s="41"/>
      <c r="D167" s="41"/>
      <c r="E167" s="41"/>
      <c r="F167" s="41"/>
      <c r="G167" s="41"/>
      <c r="H167" s="41"/>
      <c r="I167" s="41"/>
      <c r="J167" s="41"/>
      <c r="K167" s="41"/>
      <c r="L167" s="41"/>
      <c r="M167" s="41"/>
      <c r="N167" s="41"/>
      <c r="O167" s="41"/>
      <c r="P167" s="41"/>
      <c r="Q167" s="41"/>
    </row>
    <row r="168" spans="2:17" ht="15.75" customHeight="1" x14ac:dyDescent="0.2">
      <c r="B168" s="6" t="s">
        <v>15</v>
      </c>
      <c r="C168" s="6" t="s">
        <v>21</v>
      </c>
      <c r="D168" s="6" t="s">
        <v>484</v>
      </c>
      <c r="E168" s="6" t="s">
        <v>485</v>
      </c>
      <c r="F168" s="6" t="s">
        <v>486</v>
      </c>
      <c r="G168" s="6" t="s">
        <v>487</v>
      </c>
      <c r="H168" s="6" t="s">
        <v>488</v>
      </c>
      <c r="I168" s="6" t="s">
        <v>482</v>
      </c>
      <c r="J168" s="41"/>
      <c r="K168" s="41"/>
      <c r="L168" s="41"/>
      <c r="M168" s="41"/>
      <c r="N168" s="41"/>
      <c r="O168" s="41"/>
      <c r="P168" s="41"/>
      <c r="Q168" s="41"/>
    </row>
    <row r="169" spans="2:17" ht="15.75" customHeight="1" x14ac:dyDescent="0.2">
      <c r="B169" s="46" t="s">
        <v>182</v>
      </c>
      <c r="C169" s="10">
        <f>VLOOKUP(B169, sprint0!$B$4:$K$17, 10)</f>
        <v>5</v>
      </c>
      <c r="D169" s="47">
        <v>0</v>
      </c>
      <c r="E169" s="47">
        <v>0</v>
      </c>
      <c r="F169" s="47">
        <v>0</v>
      </c>
      <c r="G169" s="47">
        <v>0</v>
      </c>
      <c r="H169" s="47">
        <v>0</v>
      </c>
      <c r="I169" s="57">
        <f>SUM(D169:H169)</f>
        <v>0</v>
      </c>
      <c r="J169" s="41"/>
      <c r="K169" s="41"/>
      <c r="L169" s="41"/>
      <c r="M169" s="41"/>
      <c r="N169" s="41"/>
      <c r="O169" s="41"/>
      <c r="P169" s="41"/>
      <c r="Q169" s="41"/>
    </row>
    <row r="170" spans="2:17" ht="15.75" customHeight="1" x14ac:dyDescent="0.2">
      <c r="B170" s="46" t="s">
        <v>186</v>
      </c>
      <c r="C170" s="10">
        <f>VLOOKUP(B170, sprint0!$B$4:$K$17, 10)</f>
        <v>4</v>
      </c>
      <c r="D170" s="47">
        <v>0</v>
      </c>
      <c r="E170" s="47">
        <v>0</v>
      </c>
      <c r="F170" s="47">
        <v>0</v>
      </c>
      <c r="G170" s="47">
        <v>0</v>
      </c>
      <c r="H170" s="47">
        <v>0</v>
      </c>
      <c r="I170" s="57">
        <f>SUM(D170:H170)</f>
        <v>0</v>
      </c>
      <c r="J170" s="41"/>
      <c r="K170" s="41"/>
      <c r="L170" s="41"/>
      <c r="M170" s="41"/>
      <c r="N170" s="41"/>
      <c r="O170" s="41"/>
      <c r="P170" s="41"/>
      <c r="Q170" s="41"/>
    </row>
    <row r="171" spans="2:17" ht="15.75" customHeight="1" x14ac:dyDescent="0.2">
      <c r="B171" s="46" t="s">
        <v>187</v>
      </c>
      <c r="C171" s="10">
        <f>VLOOKUP(B171, sprint0!$B$4:$K$17, 10)</f>
        <v>5</v>
      </c>
      <c r="D171" s="47">
        <v>0</v>
      </c>
      <c r="E171" s="47">
        <v>0</v>
      </c>
      <c r="F171" s="47">
        <v>0</v>
      </c>
      <c r="G171" s="47">
        <v>0</v>
      </c>
      <c r="H171" s="47">
        <v>0</v>
      </c>
      <c r="I171" s="57">
        <f t="shared" ref="I170:I222" si="4">SUM(D171:H171)</f>
        <v>0</v>
      </c>
      <c r="J171" s="41"/>
      <c r="K171" s="41"/>
      <c r="L171" s="41"/>
      <c r="M171" s="41"/>
      <c r="N171" s="41"/>
      <c r="O171" s="41"/>
      <c r="P171" s="41"/>
      <c r="Q171" s="41"/>
    </row>
    <row r="172" spans="2:17" ht="15.75" customHeight="1" x14ac:dyDescent="0.2">
      <c r="B172" s="46" t="s">
        <v>201</v>
      </c>
      <c r="C172" s="10">
        <f>VLOOKUP(B172, sprint0!$B$4:$K$17, 10)</f>
        <v>2</v>
      </c>
      <c r="D172" s="47">
        <v>0</v>
      </c>
      <c r="E172" s="47">
        <v>0</v>
      </c>
      <c r="F172" s="47">
        <v>0</v>
      </c>
      <c r="G172" s="47">
        <v>0</v>
      </c>
      <c r="H172" s="47">
        <v>0</v>
      </c>
      <c r="I172" s="57">
        <f t="shared" si="4"/>
        <v>0</v>
      </c>
      <c r="J172" s="41"/>
      <c r="K172" s="41"/>
      <c r="L172" s="41"/>
      <c r="M172" s="41"/>
      <c r="N172" s="41"/>
      <c r="O172" s="41"/>
      <c r="P172" s="41"/>
      <c r="Q172" s="41"/>
    </row>
    <row r="173" spans="2:17" ht="15.75" customHeight="1" x14ac:dyDescent="0.2">
      <c r="B173" s="46" t="s">
        <v>202</v>
      </c>
      <c r="C173" s="10">
        <f>VLOOKUP(B173, sprint0!$B$4:$K$17, 10)</f>
        <v>3.5</v>
      </c>
      <c r="D173" s="47">
        <v>0</v>
      </c>
      <c r="E173" s="47">
        <v>0</v>
      </c>
      <c r="F173" s="47">
        <v>0</v>
      </c>
      <c r="G173" s="47">
        <v>0</v>
      </c>
      <c r="H173" s="47">
        <v>0</v>
      </c>
      <c r="I173" s="57">
        <f t="shared" si="4"/>
        <v>0</v>
      </c>
      <c r="J173" s="41"/>
      <c r="K173" s="41"/>
      <c r="L173" s="41"/>
      <c r="M173" s="41"/>
      <c r="N173" s="41"/>
      <c r="O173" s="41"/>
      <c r="P173" s="41"/>
      <c r="Q173" s="41"/>
    </row>
    <row r="174" spans="2:17" ht="15.75" customHeight="1" x14ac:dyDescent="0.2">
      <c r="B174" s="46" t="s">
        <v>203</v>
      </c>
      <c r="C174" s="10">
        <f>VLOOKUP(B174, sprint0!$B$4:$K$17, 10)</f>
        <v>2.5</v>
      </c>
      <c r="D174" s="47">
        <v>0</v>
      </c>
      <c r="E174" s="47">
        <v>0</v>
      </c>
      <c r="F174" s="47">
        <v>0</v>
      </c>
      <c r="G174" s="47">
        <v>0</v>
      </c>
      <c r="H174" s="47">
        <v>0</v>
      </c>
      <c r="I174" s="57">
        <f t="shared" si="4"/>
        <v>0</v>
      </c>
      <c r="J174" s="41"/>
      <c r="K174" s="41"/>
      <c r="L174" s="41"/>
      <c r="M174" s="41"/>
      <c r="N174" s="41"/>
      <c r="O174" s="41"/>
      <c r="P174" s="41"/>
      <c r="Q174" s="41"/>
    </row>
    <row r="175" spans="2:17" ht="15.75" customHeight="1" x14ac:dyDescent="0.2">
      <c r="B175" s="46" t="s">
        <v>204</v>
      </c>
      <c r="C175" s="10">
        <f>VLOOKUP(B175, sprint0!$B$4:$K$17, 10)</f>
        <v>2.5</v>
      </c>
      <c r="D175" s="47">
        <v>0</v>
      </c>
      <c r="E175" s="47">
        <v>0</v>
      </c>
      <c r="F175" s="47">
        <v>0</v>
      </c>
      <c r="G175" s="47">
        <v>0</v>
      </c>
      <c r="H175" s="47">
        <v>0</v>
      </c>
      <c r="I175" s="57">
        <f t="shared" si="4"/>
        <v>0</v>
      </c>
      <c r="J175" s="41"/>
      <c r="K175" s="41"/>
      <c r="L175" s="41"/>
      <c r="M175" s="41"/>
      <c r="N175" s="41"/>
      <c r="O175" s="41"/>
      <c r="P175" s="41"/>
      <c r="Q175" s="41"/>
    </row>
    <row r="176" spans="2:17" ht="15.75" customHeight="1" x14ac:dyDescent="0.2">
      <c r="B176" s="46" t="s">
        <v>217</v>
      </c>
      <c r="C176" s="10">
        <f>VLOOKUP(B176, sprint0!$B$4:$K$17, 10)</f>
        <v>3.5</v>
      </c>
      <c r="D176" s="47">
        <v>0</v>
      </c>
      <c r="E176" s="47">
        <v>0</v>
      </c>
      <c r="F176" s="47">
        <v>0</v>
      </c>
      <c r="G176" s="47">
        <v>0</v>
      </c>
      <c r="H176" s="47">
        <v>0</v>
      </c>
      <c r="I176" s="57">
        <f t="shared" si="4"/>
        <v>0</v>
      </c>
      <c r="J176" s="41"/>
      <c r="K176" s="41"/>
      <c r="L176" s="41"/>
      <c r="M176" s="41"/>
      <c r="N176" s="41"/>
      <c r="O176" s="41"/>
      <c r="P176" s="41"/>
      <c r="Q176" s="41"/>
    </row>
    <row r="177" spans="2:17" ht="15.75" customHeight="1" x14ac:dyDescent="0.2">
      <c r="B177" s="46" t="s">
        <v>218</v>
      </c>
      <c r="C177" s="10">
        <f>VLOOKUP(B177, sprint0!$B$4:$K$17, 10)</f>
        <v>2</v>
      </c>
      <c r="D177" s="47">
        <v>0</v>
      </c>
      <c r="E177" s="47">
        <v>0</v>
      </c>
      <c r="F177" s="47">
        <v>0</v>
      </c>
      <c r="G177" s="47">
        <v>0</v>
      </c>
      <c r="H177" s="47">
        <v>0</v>
      </c>
      <c r="I177" s="57">
        <f t="shared" si="4"/>
        <v>0</v>
      </c>
      <c r="J177" s="41"/>
      <c r="K177" s="41"/>
      <c r="L177" s="41"/>
      <c r="M177" s="41"/>
      <c r="N177" s="41"/>
      <c r="O177" s="41"/>
      <c r="P177" s="41"/>
      <c r="Q177" s="41"/>
    </row>
    <row r="178" spans="2:17" ht="15.75" customHeight="1" x14ac:dyDescent="0.2">
      <c r="B178" s="46" t="s">
        <v>219</v>
      </c>
      <c r="C178" s="10">
        <f>VLOOKUP(B178, sprint0!$B$4:$K$17, 10)</f>
        <v>3</v>
      </c>
      <c r="D178" s="47">
        <v>0</v>
      </c>
      <c r="E178" s="47">
        <v>0</v>
      </c>
      <c r="F178" s="47">
        <v>0</v>
      </c>
      <c r="G178" s="47">
        <v>0</v>
      </c>
      <c r="H178" s="47">
        <v>0</v>
      </c>
      <c r="I178" s="57">
        <f t="shared" si="4"/>
        <v>0</v>
      </c>
      <c r="J178" s="41"/>
      <c r="K178" s="41"/>
      <c r="L178" s="41"/>
      <c r="M178" s="41"/>
      <c r="N178" s="41"/>
      <c r="O178" s="41"/>
      <c r="P178" s="41"/>
      <c r="Q178" s="41"/>
    </row>
    <row r="179" spans="2:17" ht="15.75" customHeight="1" x14ac:dyDescent="0.2">
      <c r="B179" s="48" t="s">
        <v>220</v>
      </c>
      <c r="C179" s="10">
        <f>VLOOKUP(B179, sprint0!$B$4:$K$17, 10)</f>
        <v>2</v>
      </c>
      <c r="D179" s="49">
        <v>0</v>
      </c>
      <c r="E179" s="49">
        <v>0</v>
      </c>
      <c r="F179" s="49">
        <v>0</v>
      </c>
      <c r="G179" s="49">
        <v>0</v>
      </c>
      <c r="H179" s="49">
        <v>0</v>
      </c>
      <c r="I179" s="57">
        <f t="shared" si="4"/>
        <v>0</v>
      </c>
      <c r="J179" s="41"/>
      <c r="K179" s="41"/>
      <c r="L179" s="41"/>
      <c r="M179" s="41"/>
      <c r="N179" s="41"/>
      <c r="O179" s="41"/>
      <c r="P179" s="41"/>
      <c r="Q179" s="41"/>
    </row>
    <row r="180" spans="2:17" ht="15.75" customHeight="1" x14ac:dyDescent="0.2">
      <c r="B180" s="50" t="s">
        <v>244</v>
      </c>
      <c r="C180" s="10">
        <v>2</v>
      </c>
      <c r="D180" s="51">
        <v>0</v>
      </c>
      <c r="E180" s="51">
        <v>0</v>
      </c>
      <c r="F180" s="51">
        <v>0</v>
      </c>
      <c r="G180" s="51">
        <v>0</v>
      </c>
      <c r="H180" s="51">
        <v>0</v>
      </c>
      <c r="I180" s="57">
        <f t="shared" si="4"/>
        <v>0</v>
      </c>
      <c r="J180" s="41"/>
      <c r="K180" s="41"/>
      <c r="L180" s="41"/>
      <c r="M180" s="41"/>
      <c r="N180" s="41"/>
      <c r="O180" s="41"/>
      <c r="P180" s="41"/>
      <c r="Q180" s="41"/>
    </row>
    <row r="181" spans="2:17" ht="15.75" customHeight="1" x14ac:dyDescent="0.2">
      <c r="B181" s="52" t="s">
        <v>249</v>
      </c>
      <c r="C181" s="10">
        <v>2.5</v>
      </c>
      <c r="D181" s="47">
        <v>0</v>
      </c>
      <c r="E181" s="47">
        <v>0</v>
      </c>
      <c r="F181" s="47">
        <v>0</v>
      </c>
      <c r="G181" s="47">
        <v>0</v>
      </c>
      <c r="H181" s="47">
        <v>0</v>
      </c>
      <c r="I181" s="57">
        <f t="shared" si="4"/>
        <v>0</v>
      </c>
      <c r="J181" s="41"/>
      <c r="K181" s="41"/>
      <c r="L181" s="41"/>
      <c r="M181" s="41"/>
      <c r="N181" s="41"/>
      <c r="O181" s="41"/>
      <c r="P181" s="41"/>
      <c r="Q181" s="41"/>
    </row>
    <row r="182" spans="2:17" ht="15.75" customHeight="1" x14ac:dyDescent="0.2">
      <c r="B182" s="52" t="s">
        <v>254</v>
      </c>
      <c r="C182" s="10">
        <v>2.5</v>
      </c>
      <c r="D182" s="47">
        <v>0</v>
      </c>
      <c r="E182" s="47">
        <v>0</v>
      </c>
      <c r="F182" s="47">
        <v>0</v>
      </c>
      <c r="G182" s="47">
        <v>0</v>
      </c>
      <c r="H182" s="47">
        <v>0</v>
      </c>
      <c r="I182" s="57">
        <f t="shared" si="4"/>
        <v>0</v>
      </c>
      <c r="J182" s="41"/>
      <c r="K182" s="41"/>
      <c r="L182" s="41"/>
      <c r="M182" s="41"/>
      <c r="N182" s="41"/>
      <c r="O182" s="41"/>
      <c r="P182" s="41"/>
      <c r="Q182" s="41"/>
    </row>
    <row r="183" spans="2:17" ht="15.75" customHeight="1" x14ac:dyDescent="0.2">
      <c r="B183" s="52" t="s">
        <v>259</v>
      </c>
      <c r="C183" s="10">
        <v>3</v>
      </c>
      <c r="D183" s="47">
        <v>0</v>
      </c>
      <c r="E183" s="47">
        <v>0</v>
      </c>
      <c r="F183" s="47">
        <v>0</v>
      </c>
      <c r="G183" s="47">
        <v>0</v>
      </c>
      <c r="H183" s="47">
        <v>0</v>
      </c>
      <c r="I183" s="57">
        <f t="shared" si="4"/>
        <v>0</v>
      </c>
      <c r="J183" s="41"/>
      <c r="K183" s="41"/>
      <c r="L183" s="41"/>
      <c r="M183" s="41"/>
      <c r="N183" s="41"/>
      <c r="O183" s="41"/>
      <c r="P183" s="41"/>
      <c r="Q183" s="41"/>
    </row>
    <row r="184" spans="2:17" ht="15.75" customHeight="1" x14ac:dyDescent="0.2">
      <c r="B184" s="52" t="s">
        <v>264</v>
      </c>
      <c r="C184" s="10">
        <v>4</v>
      </c>
      <c r="D184" s="47">
        <v>0</v>
      </c>
      <c r="E184" s="47">
        <v>0</v>
      </c>
      <c r="F184" s="47">
        <v>0</v>
      </c>
      <c r="G184" s="47">
        <v>0</v>
      </c>
      <c r="H184" s="47">
        <v>0</v>
      </c>
      <c r="I184" s="57">
        <f t="shared" si="4"/>
        <v>0</v>
      </c>
      <c r="J184" s="41"/>
      <c r="K184" s="41"/>
      <c r="L184" s="41"/>
      <c r="M184" s="41"/>
      <c r="N184" s="41"/>
      <c r="O184" s="41"/>
      <c r="P184" s="41"/>
      <c r="Q184" s="41"/>
    </row>
    <row r="185" spans="2:17" ht="15.75" customHeight="1" x14ac:dyDescent="0.2">
      <c r="B185" s="52" t="s">
        <v>269</v>
      </c>
      <c r="C185" s="10">
        <v>2</v>
      </c>
      <c r="D185" s="47">
        <v>0</v>
      </c>
      <c r="E185" s="47">
        <v>0</v>
      </c>
      <c r="F185" s="47">
        <v>0</v>
      </c>
      <c r="G185" s="47">
        <v>0</v>
      </c>
      <c r="H185" s="47">
        <v>0</v>
      </c>
      <c r="I185" s="57">
        <f t="shared" si="4"/>
        <v>0</v>
      </c>
    </row>
    <row r="186" spans="2:17" ht="15.75" customHeight="1" x14ac:dyDescent="0.2">
      <c r="B186" s="52" t="s">
        <v>274</v>
      </c>
      <c r="C186" s="10">
        <v>3</v>
      </c>
      <c r="D186" s="47">
        <v>0</v>
      </c>
      <c r="E186" s="47">
        <v>0</v>
      </c>
      <c r="F186" s="47">
        <v>0</v>
      </c>
      <c r="G186" s="47">
        <v>0</v>
      </c>
      <c r="H186" s="47">
        <v>0</v>
      </c>
      <c r="I186" s="57">
        <f t="shared" si="4"/>
        <v>0</v>
      </c>
    </row>
    <row r="187" spans="2:17" ht="15.75" customHeight="1" x14ac:dyDescent="0.2">
      <c r="B187" s="52" t="s">
        <v>279</v>
      </c>
      <c r="C187" s="10">
        <v>3</v>
      </c>
      <c r="D187" s="47">
        <v>0</v>
      </c>
      <c r="E187" s="47">
        <v>0</v>
      </c>
      <c r="F187" s="47">
        <v>0</v>
      </c>
      <c r="G187" s="47">
        <v>0</v>
      </c>
      <c r="H187" s="47">
        <v>0</v>
      </c>
      <c r="I187" s="57">
        <f t="shared" si="4"/>
        <v>0</v>
      </c>
    </row>
    <row r="188" spans="2:17" ht="15.75" customHeight="1" x14ac:dyDescent="0.2">
      <c r="B188" s="52" t="s">
        <v>284</v>
      </c>
      <c r="C188" s="10">
        <v>3</v>
      </c>
      <c r="D188" s="47">
        <v>0</v>
      </c>
      <c r="E188" s="47">
        <v>0</v>
      </c>
      <c r="F188" s="47">
        <v>0</v>
      </c>
      <c r="G188" s="47">
        <v>0</v>
      </c>
      <c r="H188" s="47">
        <v>0</v>
      </c>
      <c r="I188" s="57">
        <f t="shared" si="4"/>
        <v>0</v>
      </c>
    </row>
    <row r="189" spans="2:17" ht="15.75" customHeight="1" x14ac:dyDescent="0.2">
      <c r="B189" s="52" t="s">
        <v>289</v>
      </c>
      <c r="C189" s="10">
        <v>2</v>
      </c>
      <c r="D189" s="47">
        <v>0</v>
      </c>
      <c r="E189" s="47">
        <v>0</v>
      </c>
      <c r="F189" s="47">
        <v>0</v>
      </c>
      <c r="G189" s="47">
        <v>0</v>
      </c>
      <c r="H189" s="47">
        <v>0</v>
      </c>
      <c r="I189" s="57">
        <f t="shared" si="4"/>
        <v>0</v>
      </c>
    </row>
    <row r="190" spans="2:17" ht="15.75" customHeight="1" x14ac:dyDescent="0.2">
      <c r="B190" s="52" t="s">
        <v>294</v>
      </c>
      <c r="C190" s="10">
        <v>2.5</v>
      </c>
      <c r="D190" s="47">
        <v>0</v>
      </c>
      <c r="E190" s="47">
        <v>0</v>
      </c>
      <c r="F190" s="47">
        <v>0</v>
      </c>
      <c r="G190" s="47">
        <v>0</v>
      </c>
      <c r="H190" s="47">
        <v>0</v>
      </c>
      <c r="I190" s="57">
        <f t="shared" si="4"/>
        <v>0</v>
      </c>
    </row>
    <row r="191" spans="2:17" ht="15.75" customHeight="1" x14ac:dyDescent="0.2">
      <c r="B191" s="52" t="s">
        <v>299</v>
      </c>
      <c r="C191" s="10">
        <v>3</v>
      </c>
      <c r="D191" s="47">
        <v>0</v>
      </c>
      <c r="E191" s="47">
        <v>0</v>
      </c>
      <c r="F191" s="47">
        <v>0</v>
      </c>
      <c r="G191" s="47">
        <v>0</v>
      </c>
      <c r="H191" s="47">
        <v>0</v>
      </c>
      <c r="I191" s="57">
        <f t="shared" si="4"/>
        <v>0</v>
      </c>
    </row>
    <row r="192" spans="2:17" ht="15.75" customHeight="1" x14ac:dyDescent="0.2">
      <c r="B192" s="53" t="s">
        <v>304</v>
      </c>
      <c r="C192" s="10">
        <v>2</v>
      </c>
      <c r="D192" s="49">
        <v>0</v>
      </c>
      <c r="E192" s="49">
        <v>0</v>
      </c>
      <c r="F192" s="49">
        <v>0</v>
      </c>
      <c r="G192" s="49">
        <v>0</v>
      </c>
      <c r="H192" s="49">
        <v>0</v>
      </c>
      <c r="I192" s="57">
        <f t="shared" si="4"/>
        <v>0</v>
      </c>
    </row>
    <row r="193" spans="2:9" ht="15.75" customHeight="1" x14ac:dyDescent="0.2">
      <c r="B193" s="50" t="s">
        <v>310</v>
      </c>
      <c r="C193" s="10">
        <v>2.5</v>
      </c>
      <c r="D193" s="51">
        <v>0</v>
      </c>
      <c r="E193" s="51">
        <v>0</v>
      </c>
      <c r="F193" s="51">
        <v>0</v>
      </c>
      <c r="G193" s="51">
        <v>0</v>
      </c>
      <c r="H193" s="51">
        <v>0</v>
      </c>
      <c r="I193" s="57">
        <f t="shared" si="4"/>
        <v>0</v>
      </c>
    </row>
    <row r="194" spans="2:9" ht="15.75" customHeight="1" x14ac:dyDescent="0.2">
      <c r="B194" s="52" t="s">
        <v>315</v>
      </c>
      <c r="C194" s="10">
        <v>2.5</v>
      </c>
      <c r="D194" s="47">
        <v>0</v>
      </c>
      <c r="E194" s="47">
        <v>0</v>
      </c>
      <c r="F194" s="47">
        <v>0</v>
      </c>
      <c r="G194" s="47">
        <v>0</v>
      </c>
      <c r="H194" s="47">
        <v>0</v>
      </c>
      <c r="I194" s="57">
        <f t="shared" si="4"/>
        <v>0</v>
      </c>
    </row>
    <row r="195" spans="2:9" ht="15.75" customHeight="1" x14ac:dyDescent="0.2">
      <c r="B195" s="52" t="s">
        <v>320</v>
      </c>
      <c r="C195" s="10">
        <v>2</v>
      </c>
      <c r="D195" s="47">
        <v>0</v>
      </c>
      <c r="E195" s="47">
        <v>0</v>
      </c>
      <c r="F195" s="47">
        <v>0</v>
      </c>
      <c r="G195" s="47">
        <v>0</v>
      </c>
      <c r="H195" s="47">
        <v>0</v>
      </c>
      <c r="I195" s="57">
        <f t="shared" si="4"/>
        <v>0</v>
      </c>
    </row>
    <row r="196" spans="2:9" ht="15.75" customHeight="1" x14ac:dyDescent="0.2">
      <c r="B196" s="52" t="s">
        <v>327</v>
      </c>
      <c r="C196" s="10">
        <v>3</v>
      </c>
      <c r="D196" s="47">
        <v>0</v>
      </c>
      <c r="E196" s="47">
        <v>0</v>
      </c>
      <c r="F196" s="47">
        <v>0</v>
      </c>
      <c r="G196" s="47">
        <v>0</v>
      </c>
      <c r="H196" s="47">
        <v>0</v>
      </c>
      <c r="I196" s="57">
        <f t="shared" si="4"/>
        <v>0</v>
      </c>
    </row>
    <row r="197" spans="2:9" ht="15.75" customHeight="1" x14ac:dyDescent="0.2">
      <c r="B197" s="52" t="s">
        <v>332</v>
      </c>
      <c r="C197" s="10">
        <v>3</v>
      </c>
      <c r="D197" s="47">
        <v>0</v>
      </c>
      <c r="E197" s="47">
        <v>0</v>
      </c>
      <c r="F197" s="47">
        <v>0</v>
      </c>
      <c r="G197" s="47">
        <v>0</v>
      </c>
      <c r="H197" s="47">
        <v>0</v>
      </c>
      <c r="I197" s="57">
        <f t="shared" si="4"/>
        <v>0</v>
      </c>
    </row>
    <row r="198" spans="2:9" ht="15.75" customHeight="1" x14ac:dyDescent="0.2">
      <c r="B198" s="52" t="s">
        <v>337</v>
      </c>
      <c r="C198" s="10">
        <v>3</v>
      </c>
      <c r="D198" s="47">
        <v>0</v>
      </c>
      <c r="E198" s="47">
        <v>0</v>
      </c>
      <c r="F198" s="47">
        <v>0</v>
      </c>
      <c r="G198" s="47">
        <v>0</v>
      </c>
      <c r="H198" s="47">
        <v>0</v>
      </c>
      <c r="I198" s="57">
        <f t="shared" si="4"/>
        <v>0</v>
      </c>
    </row>
    <row r="199" spans="2:9" ht="15.75" customHeight="1" x14ac:dyDescent="0.2">
      <c r="B199" s="52" t="s">
        <v>343</v>
      </c>
      <c r="C199" s="10">
        <v>2.5</v>
      </c>
      <c r="D199" s="47">
        <v>0</v>
      </c>
      <c r="E199" s="47">
        <v>0</v>
      </c>
      <c r="F199" s="47">
        <v>0</v>
      </c>
      <c r="G199" s="47">
        <v>0</v>
      </c>
      <c r="H199" s="47">
        <v>0</v>
      </c>
      <c r="I199" s="57">
        <f t="shared" si="4"/>
        <v>0</v>
      </c>
    </row>
    <row r="200" spans="2:9" ht="15.75" customHeight="1" x14ac:dyDescent="0.2">
      <c r="B200" s="52" t="s">
        <v>348</v>
      </c>
      <c r="C200" s="10">
        <v>3</v>
      </c>
      <c r="D200" s="47">
        <v>0</v>
      </c>
      <c r="E200" s="47">
        <v>0</v>
      </c>
      <c r="F200" s="47">
        <v>0</v>
      </c>
      <c r="G200" s="47">
        <v>0</v>
      </c>
      <c r="H200" s="47">
        <v>0</v>
      </c>
      <c r="I200" s="57">
        <f t="shared" si="4"/>
        <v>0</v>
      </c>
    </row>
    <row r="201" spans="2:9" ht="15.75" customHeight="1" x14ac:dyDescent="0.2">
      <c r="B201" s="52" t="s">
        <v>353</v>
      </c>
      <c r="C201" s="10">
        <v>3</v>
      </c>
      <c r="D201" s="47">
        <v>0</v>
      </c>
      <c r="E201" s="47">
        <v>0</v>
      </c>
      <c r="F201" s="47">
        <v>0</v>
      </c>
      <c r="G201" s="47">
        <v>0</v>
      </c>
      <c r="H201" s="47">
        <v>0</v>
      </c>
      <c r="I201" s="57">
        <f t="shared" si="4"/>
        <v>0</v>
      </c>
    </row>
    <row r="202" spans="2:9" ht="15.75" customHeight="1" x14ac:dyDescent="0.2">
      <c r="B202" s="52" t="s">
        <v>359</v>
      </c>
      <c r="C202" s="10">
        <v>2</v>
      </c>
      <c r="D202" s="47">
        <v>0</v>
      </c>
      <c r="E202" s="47">
        <v>0</v>
      </c>
      <c r="F202" s="47">
        <v>0</v>
      </c>
      <c r="G202" s="47">
        <v>0</v>
      </c>
      <c r="H202" s="47">
        <v>0</v>
      </c>
      <c r="I202" s="57">
        <f t="shared" si="4"/>
        <v>0</v>
      </c>
    </row>
    <row r="203" spans="2:9" ht="15.75" customHeight="1" x14ac:dyDescent="0.2">
      <c r="B203" s="52" t="s">
        <v>364</v>
      </c>
      <c r="C203" s="10">
        <v>2.5</v>
      </c>
      <c r="D203" s="47">
        <v>0</v>
      </c>
      <c r="E203" s="47">
        <v>0</v>
      </c>
      <c r="F203" s="47">
        <v>0</v>
      </c>
      <c r="G203" s="47">
        <v>0</v>
      </c>
      <c r="H203" s="47">
        <v>0</v>
      </c>
      <c r="I203" s="57">
        <f t="shared" si="4"/>
        <v>0</v>
      </c>
    </row>
    <row r="204" spans="2:9" ht="15.75" customHeight="1" x14ac:dyDescent="0.2">
      <c r="B204" s="53" t="s">
        <v>369</v>
      </c>
      <c r="C204" s="10">
        <v>3</v>
      </c>
      <c r="D204" s="49">
        <v>0</v>
      </c>
      <c r="E204" s="49">
        <v>0</v>
      </c>
      <c r="F204" s="49">
        <v>0</v>
      </c>
      <c r="G204" s="49">
        <v>0</v>
      </c>
      <c r="H204" s="49">
        <v>0</v>
      </c>
      <c r="I204" s="57">
        <f t="shared" si="4"/>
        <v>0</v>
      </c>
    </row>
    <row r="205" spans="2:9" ht="15.75" customHeight="1" x14ac:dyDescent="0.2">
      <c r="B205" s="50" t="s">
        <v>375</v>
      </c>
      <c r="C205" s="10">
        <v>3</v>
      </c>
      <c r="D205" s="51">
        <v>0</v>
      </c>
      <c r="E205" s="51">
        <v>0</v>
      </c>
      <c r="F205" s="51">
        <v>0</v>
      </c>
      <c r="G205" s="51">
        <v>0</v>
      </c>
      <c r="H205" s="51">
        <v>0</v>
      </c>
      <c r="I205" s="57">
        <f t="shared" si="4"/>
        <v>0</v>
      </c>
    </row>
    <row r="206" spans="2:9" ht="15.75" customHeight="1" x14ac:dyDescent="0.2">
      <c r="B206" s="52" t="s">
        <v>380</v>
      </c>
      <c r="C206" s="10">
        <v>4</v>
      </c>
      <c r="D206" s="47">
        <v>0</v>
      </c>
      <c r="E206" s="47">
        <v>0</v>
      </c>
      <c r="F206" s="47">
        <v>0</v>
      </c>
      <c r="G206" s="47">
        <v>0</v>
      </c>
      <c r="H206" s="47">
        <v>0</v>
      </c>
      <c r="I206" s="57">
        <f t="shared" si="4"/>
        <v>0</v>
      </c>
    </row>
    <row r="207" spans="2:9" ht="15.75" customHeight="1" x14ac:dyDescent="0.2">
      <c r="B207" s="52" t="s">
        <v>385</v>
      </c>
      <c r="C207" s="10">
        <v>3</v>
      </c>
      <c r="D207" s="47">
        <v>0</v>
      </c>
      <c r="E207" s="47">
        <v>0</v>
      </c>
      <c r="F207" s="47">
        <v>0</v>
      </c>
      <c r="G207" s="47">
        <v>0</v>
      </c>
      <c r="H207" s="47">
        <v>0</v>
      </c>
      <c r="I207" s="57">
        <f t="shared" si="4"/>
        <v>0</v>
      </c>
    </row>
    <row r="208" spans="2:9" ht="15.75" customHeight="1" x14ac:dyDescent="0.2">
      <c r="B208" s="52" t="s">
        <v>391</v>
      </c>
      <c r="C208" s="10">
        <v>2</v>
      </c>
      <c r="D208" s="47">
        <v>0</v>
      </c>
      <c r="E208" s="47">
        <v>0</v>
      </c>
      <c r="F208" s="47">
        <v>0</v>
      </c>
      <c r="G208" s="47">
        <v>0</v>
      </c>
      <c r="H208" s="47">
        <v>0</v>
      </c>
      <c r="I208" s="57">
        <f t="shared" si="4"/>
        <v>0</v>
      </c>
    </row>
    <row r="209" spans="2:9" ht="15.75" customHeight="1" x14ac:dyDescent="0.2">
      <c r="B209" s="52" t="s">
        <v>396</v>
      </c>
      <c r="C209" s="10">
        <v>2</v>
      </c>
      <c r="D209" s="47">
        <v>0</v>
      </c>
      <c r="E209" s="47">
        <v>0</v>
      </c>
      <c r="F209" s="47">
        <v>0</v>
      </c>
      <c r="G209" s="47">
        <v>0</v>
      </c>
      <c r="H209" s="47">
        <v>0</v>
      </c>
      <c r="I209" s="57">
        <f t="shared" si="4"/>
        <v>0</v>
      </c>
    </row>
    <row r="210" spans="2:9" ht="15.75" customHeight="1" x14ac:dyDescent="0.2">
      <c r="B210" s="52" t="s">
        <v>401</v>
      </c>
      <c r="C210" s="10">
        <v>2</v>
      </c>
      <c r="D210" s="47">
        <v>0</v>
      </c>
      <c r="E210" s="47">
        <v>0</v>
      </c>
      <c r="F210" s="47">
        <v>0</v>
      </c>
      <c r="G210" s="47">
        <v>0</v>
      </c>
      <c r="H210" s="47">
        <v>0</v>
      </c>
      <c r="I210" s="57">
        <f t="shared" si="4"/>
        <v>0</v>
      </c>
    </row>
    <row r="211" spans="2:9" ht="15.75" customHeight="1" x14ac:dyDescent="0.2">
      <c r="B211" s="52" t="s">
        <v>407</v>
      </c>
      <c r="C211" s="10">
        <v>3</v>
      </c>
      <c r="D211" s="47">
        <v>0</v>
      </c>
      <c r="E211" s="47">
        <v>0</v>
      </c>
      <c r="F211" s="47">
        <v>0</v>
      </c>
      <c r="G211" s="47">
        <v>0</v>
      </c>
      <c r="H211" s="47">
        <v>0</v>
      </c>
      <c r="I211" s="57">
        <f t="shared" si="4"/>
        <v>0</v>
      </c>
    </row>
    <row r="212" spans="2:9" ht="15.75" customHeight="1" x14ac:dyDescent="0.2">
      <c r="B212" s="52" t="s">
        <v>412</v>
      </c>
      <c r="C212" s="10">
        <v>3</v>
      </c>
      <c r="D212" s="47">
        <v>0</v>
      </c>
      <c r="E212" s="47">
        <v>0</v>
      </c>
      <c r="F212" s="47">
        <v>0</v>
      </c>
      <c r="G212" s="47">
        <v>0</v>
      </c>
      <c r="H212" s="47">
        <v>0</v>
      </c>
      <c r="I212" s="57">
        <f t="shared" si="4"/>
        <v>0</v>
      </c>
    </row>
    <row r="213" spans="2:9" ht="15.75" customHeight="1" x14ac:dyDescent="0.2">
      <c r="B213" s="52" t="s">
        <v>417</v>
      </c>
      <c r="C213" s="10">
        <v>3</v>
      </c>
      <c r="D213" s="47">
        <v>0</v>
      </c>
      <c r="E213" s="47">
        <v>0</v>
      </c>
      <c r="F213" s="47">
        <v>0</v>
      </c>
      <c r="G213" s="47">
        <v>0</v>
      </c>
      <c r="H213" s="47">
        <v>0</v>
      </c>
      <c r="I213" s="57">
        <f t="shared" si="4"/>
        <v>0</v>
      </c>
    </row>
    <row r="214" spans="2:9" ht="15.75" customHeight="1" x14ac:dyDescent="0.2">
      <c r="B214" s="52" t="s">
        <v>424</v>
      </c>
      <c r="C214" s="10">
        <v>3</v>
      </c>
      <c r="D214" s="47">
        <v>0</v>
      </c>
      <c r="E214" s="47">
        <v>0</v>
      </c>
      <c r="F214" s="47">
        <v>0</v>
      </c>
      <c r="G214" s="47">
        <v>0</v>
      </c>
      <c r="H214" s="47">
        <v>0</v>
      </c>
      <c r="I214" s="57">
        <f t="shared" si="4"/>
        <v>0</v>
      </c>
    </row>
    <row r="215" spans="2:9" ht="15.75" customHeight="1" x14ac:dyDescent="0.2">
      <c r="B215" s="52" t="s">
        <v>429</v>
      </c>
      <c r="C215" s="10">
        <v>3</v>
      </c>
      <c r="D215" s="47">
        <v>0</v>
      </c>
      <c r="E215" s="47">
        <v>0</v>
      </c>
      <c r="F215" s="47">
        <v>0</v>
      </c>
      <c r="G215" s="47">
        <v>0</v>
      </c>
      <c r="H215" s="47">
        <v>0</v>
      </c>
      <c r="I215" s="57">
        <f t="shared" si="4"/>
        <v>0</v>
      </c>
    </row>
    <row r="216" spans="2:9" ht="15.75" customHeight="1" x14ac:dyDescent="0.2">
      <c r="B216" s="53" t="s">
        <v>434</v>
      </c>
      <c r="C216" s="10">
        <v>2</v>
      </c>
      <c r="D216" s="49">
        <v>0</v>
      </c>
      <c r="E216" s="49">
        <v>0</v>
      </c>
      <c r="F216" s="49">
        <v>0</v>
      </c>
      <c r="G216" s="49">
        <v>0</v>
      </c>
      <c r="H216" s="49">
        <v>0</v>
      </c>
      <c r="I216" s="57">
        <f t="shared" si="4"/>
        <v>0</v>
      </c>
    </row>
    <row r="217" spans="2:9" ht="15.75" customHeight="1" x14ac:dyDescent="0.2">
      <c r="B217" s="43" t="s">
        <v>441</v>
      </c>
      <c r="C217" s="10">
        <v>3</v>
      </c>
      <c r="D217" s="8">
        <v>0</v>
      </c>
      <c r="E217" s="8">
        <v>0</v>
      </c>
      <c r="F217" s="8">
        <v>0</v>
      </c>
      <c r="G217" s="8">
        <v>0</v>
      </c>
      <c r="H217" s="8">
        <v>0</v>
      </c>
      <c r="I217" s="57">
        <f t="shared" si="4"/>
        <v>0</v>
      </c>
    </row>
    <row r="218" spans="2:9" ht="15.75" customHeight="1" x14ac:dyDescent="0.2">
      <c r="B218" s="43" t="s">
        <v>446</v>
      </c>
      <c r="C218" s="10">
        <v>4</v>
      </c>
      <c r="D218" s="8">
        <v>0</v>
      </c>
      <c r="E218" s="8">
        <v>0</v>
      </c>
      <c r="F218" s="8">
        <v>0</v>
      </c>
      <c r="G218" s="8">
        <v>0</v>
      </c>
      <c r="H218" s="8">
        <v>0</v>
      </c>
      <c r="I218" s="57">
        <f t="shared" si="4"/>
        <v>0</v>
      </c>
    </row>
    <row r="219" spans="2:9" ht="15.75" customHeight="1" x14ac:dyDescent="0.2">
      <c r="B219" s="43" t="s">
        <v>451</v>
      </c>
      <c r="C219" s="10">
        <v>3</v>
      </c>
      <c r="D219" s="8">
        <v>0</v>
      </c>
      <c r="E219" s="8">
        <v>0</v>
      </c>
      <c r="F219" s="8">
        <v>0</v>
      </c>
      <c r="G219" s="8">
        <v>0</v>
      </c>
      <c r="H219" s="8">
        <v>0</v>
      </c>
      <c r="I219" s="57">
        <f t="shared" si="4"/>
        <v>0</v>
      </c>
    </row>
    <row r="220" spans="2:9" ht="15.75" customHeight="1" x14ac:dyDescent="0.2">
      <c r="B220" s="43" t="s">
        <v>457</v>
      </c>
      <c r="C220" s="10">
        <v>3</v>
      </c>
      <c r="D220" s="8">
        <v>0</v>
      </c>
      <c r="E220" s="8">
        <v>0</v>
      </c>
      <c r="F220" s="8">
        <v>0</v>
      </c>
      <c r="G220" s="8">
        <v>0</v>
      </c>
      <c r="H220" s="8">
        <v>0</v>
      </c>
      <c r="I220" s="57">
        <f t="shared" si="4"/>
        <v>0</v>
      </c>
    </row>
    <row r="221" spans="2:9" ht="15.75" customHeight="1" x14ac:dyDescent="0.2">
      <c r="B221" s="43" t="s">
        <v>462</v>
      </c>
      <c r="C221" s="10">
        <v>3</v>
      </c>
      <c r="D221" s="8">
        <v>0</v>
      </c>
      <c r="E221" s="8">
        <v>0</v>
      </c>
      <c r="F221" s="8">
        <v>0</v>
      </c>
      <c r="G221" s="8">
        <v>0</v>
      </c>
      <c r="H221" s="8">
        <v>0</v>
      </c>
      <c r="I221" s="57">
        <f t="shared" si="4"/>
        <v>0</v>
      </c>
    </row>
    <row r="222" spans="2:9" ht="15.75" customHeight="1" x14ac:dyDescent="0.2">
      <c r="B222" s="43" t="s">
        <v>467</v>
      </c>
      <c r="C222" s="10">
        <v>2.5</v>
      </c>
      <c r="D222" s="8">
        <v>0</v>
      </c>
      <c r="E222" s="8">
        <v>0</v>
      </c>
      <c r="F222" s="8">
        <v>0</v>
      </c>
      <c r="G222" s="8">
        <v>0</v>
      </c>
      <c r="H222" s="8">
        <v>0</v>
      </c>
      <c r="I222" s="57">
        <f>SUM(D222:H222)</f>
        <v>0</v>
      </c>
    </row>
    <row r="223" spans="2:9" ht="15.75" customHeight="1" x14ac:dyDescent="0.2">
      <c r="B223" s="41"/>
      <c r="C223" s="41"/>
      <c r="D223" s="8"/>
      <c r="E223" s="8"/>
      <c r="F223" s="8"/>
      <c r="G223" s="8"/>
      <c r="H223" s="8"/>
      <c r="I223" s="41"/>
    </row>
    <row r="224" spans="2:9" ht="15.75" customHeight="1" x14ac:dyDescent="0.2">
      <c r="B224" s="41"/>
      <c r="C224" s="41"/>
      <c r="D224" s="41"/>
      <c r="E224" s="41"/>
      <c r="F224" s="41"/>
      <c r="G224" s="41"/>
      <c r="H224" s="41"/>
      <c r="I224" s="41"/>
    </row>
    <row r="225" spans="2:9" ht="15.75" customHeight="1" x14ac:dyDescent="0.2">
      <c r="B225" s="12" t="s">
        <v>28</v>
      </c>
      <c r="C225" s="6">
        <f>SUM(C169:C222)</f>
        <v>153</v>
      </c>
      <c r="D225" s="6">
        <f>C225-SUM(D169:D222)</f>
        <v>153</v>
      </c>
      <c r="E225" s="6">
        <f>D225-SUM(E169:E222)</f>
        <v>153</v>
      </c>
      <c r="F225" s="6">
        <f>E225-SUM(F169:F222)</f>
        <v>153</v>
      </c>
      <c r="G225" s="6">
        <f>F225-SUM(G169:G222)</f>
        <v>153</v>
      </c>
      <c r="H225" s="6">
        <f>G225-SUM(H169:H222)</f>
        <v>153</v>
      </c>
      <c r="I225" s="41"/>
    </row>
    <row r="226" spans="2:9" ht="15.75" customHeight="1" x14ac:dyDescent="0.2">
      <c r="B226" s="12" t="s">
        <v>29</v>
      </c>
      <c r="C226" s="6">
        <f>SUM(C169:C222)</f>
        <v>153</v>
      </c>
      <c r="D226" s="6">
        <f>C226-(SUM(D169:D222)/5)</f>
        <v>153</v>
      </c>
      <c r="E226" s="6">
        <f>D226-(SUM(E169:E222)/5)</f>
        <v>153</v>
      </c>
      <c r="F226" s="6">
        <f>E226-(SUM(F169:F222)/5)</f>
        <v>153</v>
      </c>
      <c r="G226" s="6">
        <f>F226-(SUM(G169:G222)/5)</f>
        <v>153</v>
      </c>
      <c r="H226" s="6">
        <f>G226-(SUM(H169:H222)/5)</f>
        <v>153</v>
      </c>
      <c r="I226" s="41"/>
    </row>
    <row r="227" spans="2:9" ht="15.75" customHeight="1" x14ac:dyDescent="0.2">
      <c r="B227" s="41"/>
      <c r="C227" s="41"/>
      <c r="D227" s="41"/>
      <c r="E227" s="41"/>
      <c r="F227" s="41"/>
      <c r="G227" s="41"/>
      <c r="H227" s="41"/>
      <c r="I227" s="41"/>
    </row>
    <row r="228" spans="2:9" ht="15.75" customHeight="1" x14ac:dyDescent="0.2">
      <c r="B228" s="41"/>
      <c r="C228" s="41"/>
      <c r="D228" s="41"/>
      <c r="E228" s="41"/>
      <c r="F228" s="41"/>
      <c r="G228" s="41"/>
      <c r="H228" s="41"/>
      <c r="I228" s="41"/>
    </row>
    <row r="229" spans="2:9" ht="15.75" customHeight="1" x14ac:dyDescent="0.2">
      <c r="B229" s="41"/>
      <c r="C229" s="41"/>
      <c r="D229" s="41"/>
      <c r="E229" s="41"/>
      <c r="F229" s="41"/>
      <c r="G229" s="41"/>
      <c r="H229" s="41"/>
      <c r="I229" s="41"/>
    </row>
    <row r="230" spans="2:9" ht="15.75" customHeight="1" x14ac:dyDescent="0.2">
      <c r="B230" s="44"/>
      <c r="C230" s="45"/>
      <c r="D230" s="45"/>
      <c r="E230" s="45"/>
      <c r="F230" s="45"/>
      <c r="G230" s="45"/>
      <c r="H230" s="41"/>
      <c r="I230" s="41"/>
    </row>
    <row r="231" spans="2:9" ht="15.75" customHeight="1" x14ac:dyDescent="0.2">
      <c r="B231" s="45"/>
      <c r="C231" s="45"/>
      <c r="D231" s="45"/>
      <c r="E231" s="45"/>
      <c r="F231" s="45"/>
      <c r="G231" s="45"/>
      <c r="H231" s="41"/>
      <c r="I231" s="41"/>
    </row>
    <row r="232" spans="2:9" ht="15.75" customHeight="1" x14ac:dyDescent="0.2">
      <c r="B232" s="45"/>
      <c r="C232" s="45"/>
      <c r="D232" s="45"/>
      <c r="E232" s="45"/>
      <c r="F232" s="45"/>
      <c r="G232" s="45"/>
      <c r="H232" s="41"/>
      <c r="I232" s="41"/>
    </row>
    <row r="233" spans="2:9" ht="15.75" customHeight="1" x14ac:dyDescent="0.2"/>
    <row r="234" spans="2:9" ht="15.75" customHeight="1" x14ac:dyDescent="0.2"/>
    <row r="235" spans="2:9" ht="15.75" customHeight="1" x14ac:dyDescent="0.2"/>
    <row r="236" spans="2:9" ht="15.75" customHeight="1" x14ac:dyDescent="0.2"/>
    <row r="237" spans="2:9" ht="15.75" customHeight="1" x14ac:dyDescent="0.2"/>
    <row r="238" spans="2:9" ht="15.75" customHeight="1" x14ac:dyDescent="0.2"/>
    <row r="239" spans="2:9" ht="15.75" customHeight="1" x14ac:dyDescent="0.2"/>
    <row r="240" spans="2:9"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sheetData>
  <mergeCells count="8">
    <mergeCell ref="B166:I166"/>
    <mergeCell ref="B114:I114"/>
    <mergeCell ref="B140:I140"/>
    <mergeCell ref="B24:G31"/>
    <mergeCell ref="B1:I1"/>
    <mergeCell ref="B42:I42"/>
    <mergeCell ref="B65:G72"/>
    <mergeCell ref="B83:I83"/>
  </mergeCells>
  <phoneticPr fontId="12" type="noConversion"/>
  <pageMargins left="0.7" right="0.7" top="0.75" bottom="0.75" header="0" footer="0"/>
  <pageSetup orientation="landscape"/>
  <ignoredErrors>
    <ignoredError sqref="I220:I222 I180:I184 I186:I187 I190 I194:I197 I199 I206:I217 I202:I204" formulaRange="1"/>
  </ignoredErrors>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Data</vt:lpstr>
      <vt:lpstr>Backlog</vt:lpstr>
      <vt:lpstr>sprint0</vt:lpstr>
      <vt:lpstr>sprint1</vt:lpstr>
      <vt:lpstr>sprint2</vt:lpstr>
      <vt:lpstr>sprint3</vt:lpstr>
      <vt:lpstr>sprint4</vt:lpstr>
      <vt:lpstr>sprint final</vt:lpstr>
      <vt:lpstr>burdonchart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ANTHONY ALAIN MORALES CARVAJAL</cp:lastModifiedBy>
  <dcterms:created xsi:type="dcterms:W3CDTF">2023-06-05T13:12:31Z</dcterms:created>
  <dcterms:modified xsi:type="dcterms:W3CDTF">2026-01-22T23:55:48Z</dcterms:modified>
</cp:coreProperties>
</file>