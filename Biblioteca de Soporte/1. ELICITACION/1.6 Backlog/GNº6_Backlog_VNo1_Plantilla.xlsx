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eta\Documents\6to\27837_G6_ADS\"/>
    </mc:Choice>
  </mc:AlternateContent>
  <xr:revisionPtr revIDLastSave="0" documentId="13_ncr:1_{98370DDD-D27B-42DD-A2BC-7A45CC07915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4" r:id="rId1"/>
    <sheet name="Backlog" sheetId="1" r:id="rId2"/>
    <sheet name="sprint0" sheetId="2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F2" i="1"/>
  <c r="E2" i="1"/>
  <c r="D2" i="1"/>
  <c r="C2" i="1"/>
  <c r="B2" i="1"/>
  <c r="C11" i="3" l="1"/>
  <c r="D11" i="3" s="1"/>
  <c r="E11" i="3" s="1"/>
  <c r="F11" i="3" s="1"/>
  <c r="G11" i="3" s="1"/>
  <c r="H11" i="3" s="1"/>
  <c r="C10" i="3"/>
  <c r="D10" i="3" s="1"/>
  <c r="E10" i="3" s="1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<sst xmlns="http://schemas.openxmlformats.org/spreadsheetml/2006/main" count="316" uniqueCount="183">
  <si>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</si>
  <si>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</si>
  <si>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</si>
  <si>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</si>
  <si>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</si>
  <si>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</si>
  <si>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</si>
  <si>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</si>
  <si>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</si>
  <si>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En Proceso</t>
  </si>
  <si>
    <t>REQ002</t>
  </si>
  <si>
    <t>REQ003</t>
  </si>
  <si>
    <t>REQ004</t>
  </si>
  <si>
    <t>Media</t>
  </si>
  <si>
    <t>REQ005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</si>
  <si>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</si>
  <si>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</si>
  <si>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</si>
  <si>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</si>
  <si>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</si>
  <si>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</si>
  <si>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</si>
  <si>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</si>
  <si>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</si>
  <si>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</si>
  <si>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</si>
  <si>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</si>
  <si>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</si>
  <si>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</si>
  <si>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</si>
  <si>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</si>
  <si>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</si>
  <si>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</si>
  <si>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</si>
  <si>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</si>
  <si>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</si>
  <si>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</si>
  <si>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</si>
  <si>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</si>
  <si>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</si>
  <si>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</si>
  <si>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</si>
  <si>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</si>
  <si>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</si>
  <si>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</si>
  <si>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El sistema debe permitir registrar productos nuevos</t>
  </si>
  <si>
    <t>Registrar nombre, precios, país de origen, stock e imagen del producto</t>
  </si>
  <si>
    <t>Propietario</t>
  </si>
  <si>
    <t>Ingresar datos del producto en formulario, el sistema genera código automático y valida información antes de guardar</t>
  </si>
  <si>
    <t>Leonardo Narvaez</t>
  </si>
  <si>
    <t>No iniciado</t>
  </si>
  <si>
    <t>Validar campos obligatorios, rangos de precios (0.01-99.99), stock mayor a 0. Verificar código único generado y mensaje de confirmación.</t>
  </si>
  <si>
    <t>Códigos de producto no se reutilizan al eliminar</t>
  </si>
  <si>
    <t>Registrar Producto</t>
  </si>
  <si>
    <t>El sistema debe permitir actualizar datos de productos registrados</t>
  </si>
  <si>
    <t>Modificar nombre, precios, país, stock o imagen de productos existentes</t>
  </si>
  <si>
    <t>Seleccionar producto de lista, editar campos en formulario y guardar cambios validados</t>
  </si>
  <si>
    <t>Caetano Flores</t>
  </si>
  <si>
    <t>Validar que actualización cumpla mismas reglas que registro. Stock no puede ser negativo. Mensaje de confirmación al actualizar.</t>
  </si>
  <si>
    <t>Permite incrementos y decrementos de stock con validaciones</t>
  </si>
  <si>
    <t>Actualizar Producto</t>
  </si>
  <si>
    <t>El sistema debe permitir consultar información de productos</t>
  </si>
  <si>
    <t>Buscar productos por nombre o código y visualizar su información completa</t>
  </si>
  <si>
    <t>Ingresar criterio de búsqueda (nombre o código), sistema muestra resultados coincidentes</t>
  </si>
  <si>
    <t>AnthonyMorales</t>
  </si>
  <si>
    <t>Búsqueda por código exacto muestra un producto. Búsqueda por nombre muestra coincidencias parciales. Mensaje si no hay resultados.</t>
  </si>
  <si>
    <t>Búsqueda por código prioritaria si tiene formato letra+dígitos</t>
  </si>
  <si>
    <t>Consultar Producto</t>
  </si>
  <si>
    <t>El sistema debe permitir desactivar productos</t>
  </si>
  <si>
    <t>Marcar productos como inactivos sin eliminarlos físicamente</t>
  </si>
  <si>
    <t>Seleccionar producto, confirmar eliminación, sistema actualiza estado a Inactivo</t>
  </si>
  <si>
    <t>Producto marcado como Inactivo no aparece en selecciones futuras pero conserva historial. Confirmación de desactivación exitosa.</t>
  </si>
  <si>
    <t>Código del producto no se libera para reutilización</t>
  </si>
  <si>
    <t>Eliminar Producto</t>
  </si>
  <si>
    <t>El sistema debe permitir registrar clientes nuevos</t>
  </si>
  <si>
    <t>Registrar nombre, identificación, correo, teléfono y dirección del cliente</t>
  </si>
  <si>
    <t>Ingresar datos del cliente en formulario, validar formatos y guardar en base de datos</t>
  </si>
  <si>
    <t>Validar campos obligatorios, formato de cédula/RUC/pasaporte, email y teléfono válidos. Identificación única. Mensaje de confirmación.</t>
  </si>
  <si>
    <t>Todos los campos son obligatorios</t>
  </si>
  <si>
    <t>Registrar Cliente</t>
  </si>
  <si>
    <t>REQ006</t>
  </si>
  <si>
    <t>El sistema debe permitir actualizar datos de clientes</t>
  </si>
  <si>
    <t>Modificar información de clientes registrados</t>
  </si>
  <si>
    <t>Seleccionar cliente de lista, editar campos y guardar cambios validados</t>
  </si>
  <si>
    <t>Validar mismas reglas que registro. Verificar formatos de identificación, email y teléfono. Mensaje de confirmación.</t>
  </si>
  <si>
    <t/>
  </si>
  <si>
    <t>Actualizar Cliente</t>
  </si>
  <si>
    <t>REQ007</t>
  </si>
  <si>
    <t>El sistema debe permitir consultar información de clientes</t>
  </si>
  <si>
    <t>Buscar clientes por nombre o identificación</t>
  </si>
  <si>
    <t>Ingresar criterio de búsqueda, sistema muestra resultados coincidentes</t>
  </si>
  <si>
    <t>Búsqueda exacta o parcial muestra clientes coincidentes. Mensaje si no hay resultados.</t>
  </si>
  <si>
    <t>Consultar Cliente</t>
  </si>
  <si>
    <t>REQ008</t>
  </si>
  <si>
    <t>El sistema debe permitir desactivar clientes</t>
  </si>
  <si>
    <t>Marcar clientes como inactivos lógicamente</t>
  </si>
  <si>
    <t>Seleccionar cliente, confirmar eliminación, actualizar estado a Inactivo</t>
  </si>
  <si>
    <t>Cliente marcado Inactivo no disponible para nuevos pedidos. Historial se conserva. Mensaje de confirmación.</t>
  </si>
  <si>
    <t>Puede alternarse vista entre clientes Activos e Inactivos</t>
  </si>
  <si>
    <t>Eliminar Cliente</t>
  </si>
  <si>
    <t>REQ009</t>
  </si>
  <si>
    <t>El sistema debe permitir registrar pedidos nuevos</t>
  </si>
  <si>
    <t>Asociar cliente, productos, cantidades y calcular totales del pedido</t>
  </si>
  <si>
    <t>Seleccionar cliente y productos, especificar cantidades, sistema calcula totales y guarda pedido</t>
  </si>
  <si>
    <t>Validar cliente seleccionado, productos con cantidad mayor a 0, stock disponible, formato de fecha DD/MM/AAAA. Confirmación y ID único generado.</t>
  </si>
  <si>
    <t>Fecha auto-completada con fecha actual pero editable</t>
  </si>
  <si>
    <t>Registrar Pedido</t>
  </si>
  <si>
    <t>REQ010</t>
  </si>
  <si>
    <t>El sistema debe permitir actualizar pedidos existentes</t>
  </si>
  <si>
    <t>Modificar cliente o productos de un pedido registrado</t>
  </si>
  <si>
    <t>Seleccionar pedido, editar datos, sistema recalcula totales y actualiza inventario</t>
  </si>
  <si>
    <t>Validar cliente y productos válidos, stock disponible para aumentos. Recalculo correcto de totales. Mensaje de confirmación.</t>
  </si>
  <si>
    <t>Ajusta inventario por aumentos o disminuciones de cantidades</t>
  </si>
  <si>
    <t>Actualizar Pedido</t>
  </si>
  <si>
    <t>REQ011</t>
  </si>
  <si>
    <t>El sistema debe permitir consultar información de pedidos</t>
  </si>
  <si>
    <t>Buscar y visualizar detalles de pedidos por filtros</t>
  </si>
  <si>
    <t>Aplicar filtros (ID, cliente, fechas, estado), sistema muestra resultados</t>
  </si>
  <si>
    <t>Jordan Guaman</t>
  </si>
  <si>
    <t>Filtros funcionan correctamente. Visualización completa de información del pedido. Mensaje si no hay resultados.</t>
  </si>
  <si>
    <t>Interfaz intuitiva para filtrado</t>
  </si>
  <si>
    <t>Consultar Pedido</t>
  </si>
  <si>
    <t>REQ012</t>
  </si>
  <si>
    <t>El sistema debe permitir eliminar pedidos</t>
  </si>
  <si>
    <t>Cancelar pedidos y revertir cambios en inventario</t>
  </si>
  <si>
    <t>Seleccionar pedido, confirmar eliminación, actualizar estado a Cancelado y revertir stock</t>
  </si>
  <si>
    <t>Pedido marcado como Cancelado. Stock revertido correctamente. Historial conservado. Mensaje de confirmación.</t>
  </si>
  <si>
    <t>Eliminación lógica que conserva historial</t>
  </si>
  <si>
    <t>Eliminar Pedido</t>
  </si>
  <si>
    <t>REQ013</t>
  </si>
  <si>
    <t>El sistema debe permitir controlar el estado de pedidos</t>
  </si>
  <si>
    <t>Actualizar estado del pedido según avance</t>
  </si>
  <si>
    <t>Seleccionar pedido, elegir nuevo estado de opciones permitidas, actualizar</t>
  </si>
  <si>
    <t>Validar transiciones permitidas entre estados. No permitir cambios desde Completado o Cancelado. Mensaje de confirmación.</t>
  </si>
  <si>
    <t>Estados: Pendiente, En Proceso, En Espera, Completado, Cancelado</t>
  </si>
  <si>
    <t>Controlar Estado de Pedido</t>
  </si>
  <si>
    <t>REQ014</t>
  </si>
  <si>
    <t>El sistema debe permitir generar reportes de pedidos</t>
  </si>
  <si>
    <t>Exportar datos de pedidos filtrados a archivo Excel</t>
  </si>
  <si>
    <t>Aplicar filtros deseados, generar reporte, descargar archivo Excel con información completa</t>
  </si>
  <si>
    <t>Archivo Excel generado con información correcta según filtros. Incluye datos de pedido, cliente, productos, totales y resúmenes.</t>
  </si>
  <si>
    <t>Incluye agregados como total de ventas y productos vendidos</t>
  </si>
  <si>
    <t>Generar Reporte de Pedidos</t>
  </si>
  <si>
    <t>REQ015</t>
  </si>
  <si>
    <t>El sistema debe permitir crear mezclas personalizadas</t>
  </si>
  <si>
    <t>Seleccionar productos, especificar cantidades y calcular precio total de mezcla</t>
  </si>
  <si>
    <t>Seleccionar productos, ingresar cantidades en libras, sistema calcula precio dinámicamente</t>
  </si>
  <si>
    <t>Productos añadidos correctamente. Cantidades válidas y stock disponible. Cálculo de precio correcto. Opciones de guardar o agregar a pedido funcionan.</t>
  </si>
  <si>
    <t>Nombre de mezcla: 3-25 caracteres alfanuméricos</t>
  </si>
  <si>
    <t>Crear Nueva Mezcla Personalizada</t>
  </si>
  <si>
    <t>REQ016</t>
  </si>
  <si>
    <t>El sistema debe permitir consultar mezclas personalizadas</t>
  </si>
  <si>
    <t>Visualizar mezclas guardadas y recibir recomendaciones</t>
  </si>
  <si>
    <t>Ver mezclas predefinidas y guardadas, recibir sugerencias, ajustar cantidades</t>
  </si>
  <si>
    <t>Mezclas guardadas se muestran correctamente. Recomendaciones basadas en historial. Cálculos dinámicos de precio y nutrición funcionan.</t>
  </si>
  <si>
    <t>Recomendaciones simples basadas en compras frecuentes</t>
  </si>
  <si>
    <t>Consultar Mezclas Personalizadas</t>
  </si>
  <si>
    <t>REQ017</t>
  </si>
  <si>
    <t>El sistema debe permitir guardar mezclas personalizadas</t>
  </si>
  <si>
    <t>Almacenar mezclas diseñadas para uso futuro</t>
  </si>
  <si>
    <t>Diseñar mezcla, ingresar nombre único, guardar en perfil</t>
  </si>
  <si>
    <t>Nombre no vacío y no excede 100 caracteres. Mezcla guardada en base de datos. Mensaje de confirmación.</t>
  </si>
  <si>
    <t>Mezclas guardadas no afectan stock hasta usarse en pedido</t>
  </si>
  <si>
    <t>Guardar Mezcla Personalizada</t>
  </si>
  <si>
    <t xml:space="preserve">Media </t>
  </si>
  <si>
    <t>Baja</t>
  </si>
  <si>
    <t>Gestionar el inventario y controlar productos disponibles</t>
  </si>
  <si>
    <t>Mantener actualizada la información del inventario</t>
  </si>
  <si>
    <t>Revisar disponibilidad y detalles de productos registrados</t>
  </si>
  <si>
    <t>Mantener historial y evitar uso en nuevas transacciones</t>
  </si>
  <si>
    <t>Gestionar ventas y controlar inventario</t>
  </si>
  <si>
    <t>Revisar historial y estado de pedidos</t>
  </si>
  <si>
    <t>Anular pedidos incorrectos y restaurar stock</t>
  </si>
  <si>
    <t>Revisar información de clientes registrados</t>
  </si>
  <si>
    <t>Gestionar información de clientes y asociarlos a pedidos</t>
  </si>
  <si>
    <t>Mantener datos de clientes actualizados</t>
  </si>
  <si>
    <t>Excluirlos de nuevas selecciones pero mantener historial</t>
  </si>
  <si>
    <t>Corregir errores o ajustar pedidos antes de completarlos</t>
  </si>
  <si>
    <t>Seguimiento del proceso de cada pedido</t>
  </si>
  <si>
    <t>Análisis de ventas y toma de decisiones</t>
  </si>
  <si>
    <t>Ofrecer productos personalizados a clientes</t>
  </si>
  <si>
    <t>Reutilizar mezclas y sugerir combinaciones basadas en historial</t>
  </si>
  <si>
    <t>Reutilizar combinaciones favoritas en pedidos futuros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</si>
</sst>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3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theme="1"/>
      <name val="Arial Narrow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0" fontId="5" fillId="3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5" fillId="5" borderId="2" xfId="0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9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wrapText="1"/>
    </xf>
    <xf numFmtId="0" fontId="9" fillId="0" borderId="4" xfId="0" applyFont="1" applyBorder="1" applyAlignment="1">
      <alignment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3" fillId="0" borderId="0" xfId="0" applyFont="1"/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4.8</c:v>
                </c:pt>
                <c:pt idx="3">
                  <c:v>3.5999999999999996</c:v>
                </c:pt>
                <c:pt idx="4">
                  <c:v>2.3999999999999995</c:v>
                </c:pt>
                <c:pt idx="5">
                  <c:v>1.1999999999999995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44A-9154-48F8-B65A-1774B7613B99}">
  <dimension ref="A1:N23"/>
  <sheetViews>
    <sheetView zoomScale="70" zoomScaleNormal="70" workbookViewId="0">
      <selection activeCell="C2" sqref="C2"/>
    </sheetView>
  </sheetViews>
  <sheetFormatPr defaultRowHeight="13.2" x14ac:dyDescent="0.25"/>
  <cols>
    <col min="2" max="14" width="24.6640625" customWidth="1"/>
  </cols>
  <sheetData>
    <row r="1" spans="1:14" ht="41.4" x14ac:dyDescent="0.25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4" t="s">
        <v>39</v>
      </c>
      <c r="J1" s="14" t="s">
        <v>40</v>
      </c>
      <c r="K1" s="14" t="s">
        <v>41</v>
      </c>
      <c r="L1" s="14" t="s">
        <v>42</v>
      </c>
      <c r="M1" s="14" t="s">
        <v>43</v>
      </c>
      <c r="N1" s="14" t="s">
        <v>44</v>
      </c>
    </row>
    <row r="2" spans="1:14" ht="58.8" customHeight="1" x14ac:dyDescent="0.25">
      <c r="A2" s="15" t="s">
        <v>7</v>
      </c>
      <c r="B2" s="16" t="s">
        <v>45</v>
      </c>
      <c r="C2" s="16" t="s">
        <v>46</v>
      </c>
      <c r="D2" s="16" t="s">
        <v>166</v>
      </c>
      <c r="E2" s="16" t="s">
        <v>47</v>
      </c>
      <c r="F2" s="16" t="s">
        <v>48</v>
      </c>
      <c r="G2" s="16" t="s">
        <v>49</v>
      </c>
      <c r="H2" s="16">
        <v>4</v>
      </c>
      <c r="I2" s="17">
        <v>46056</v>
      </c>
      <c r="J2" s="18" t="s">
        <v>8</v>
      </c>
      <c r="K2" s="16" t="s">
        <v>50</v>
      </c>
      <c r="L2" s="19" t="s">
        <v>51</v>
      </c>
      <c r="M2" s="16" t="s">
        <v>52</v>
      </c>
      <c r="N2" s="16" t="s">
        <v>53</v>
      </c>
    </row>
    <row r="3" spans="1:14" ht="58.8" customHeight="1" x14ac:dyDescent="0.25">
      <c r="A3" s="15" t="s">
        <v>10</v>
      </c>
      <c r="B3" s="20" t="s">
        <v>54</v>
      </c>
      <c r="C3" s="20" t="s">
        <v>55</v>
      </c>
      <c r="D3" s="20" t="s">
        <v>167</v>
      </c>
      <c r="E3" s="20" t="s">
        <v>47</v>
      </c>
      <c r="F3" s="20" t="s">
        <v>56</v>
      </c>
      <c r="G3" s="20" t="s">
        <v>57</v>
      </c>
      <c r="H3" s="16">
        <v>2</v>
      </c>
      <c r="I3" s="21">
        <v>46056</v>
      </c>
      <c r="J3" s="18" t="s">
        <v>8</v>
      </c>
      <c r="K3" s="16" t="s">
        <v>50</v>
      </c>
      <c r="L3" s="20" t="s">
        <v>58</v>
      </c>
      <c r="M3" s="20" t="s">
        <v>59</v>
      </c>
      <c r="N3" s="20" t="s">
        <v>60</v>
      </c>
    </row>
    <row r="4" spans="1:14" ht="58.8" customHeight="1" x14ac:dyDescent="0.25">
      <c r="A4" s="15" t="s">
        <v>11</v>
      </c>
      <c r="B4" s="22" t="s">
        <v>61</v>
      </c>
      <c r="C4" s="22" t="s">
        <v>62</v>
      </c>
      <c r="D4" s="22" t="s">
        <v>168</v>
      </c>
      <c r="E4" s="22" t="s">
        <v>47</v>
      </c>
      <c r="F4" s="23" t="s">
        <v>63</v>
      </c>
      <c r="G4" s="24" t="s">
        <v>64</v>
      </c>
      <c r="H4" s="16">
        <v>3</v>
      </c>
      <c r="I4" s="25">
        <v>46056</v>
      </c>
      <c r="J4" s="18" t="s">
        <v>8</v>
      </c>
      <c r="K4" s="16" t="s">
        <v>50</v>
      </c>
      <c r="L4" s="22" t="s">
        <v>65</v>
      </c>
      <c r="M4" s="22" t="s">
        <v>66</v>
      </c>
      <c r="N4" s="22" t="s">
        <v>67</v>
      </c>
    </row>
    <row r="5" spans="1:14" ht="58.8" customHeight="1" x14ac:dyDescent="0.25">
      <c r="A5" s="15" t="s">
        <v>12</v>
      </c>
      <c r="B5" s="24" t="s">
        <v>68</v>
      </c>
      <c r="C5" s="26" t="s">
        <v>69</v>
      </c>
      <c r="D5" s="24" t="s">
        <v>169</v>
      </c>
      <c r="E5" s="24" t="s">
        <v>47</v>
      </c>
      <c r="F5" s="26" t="s">
        <v>70</v>
      </c>
      <c r="G5" s="24" t="s">
        <v>64</v>
      </c>
      <c r="H5" s="16">
        <v>2</v>
      </c>
      <c r="I5" s="27">
        <v>46056</v>
      </c>
      <c r="J5" s="18" t="s">
        <v>8</v>
      </c>
      <c r="K5" s="16" t="s">
        <v>50</v>
      </c>
      <c r="L5" s="24" t="s">
        <v>71</v>
      </c>
      <c r="M5" s="24" t="s">
        <v>72</v>
      </c>
      <c r="N5" s="24" t="s">
        <v>73</v>
      </c>
    </row>
    <row r="6" spans="1:14" ht="58.8" customHeight="1" x14ac:dyDescent="0.25">
      <c r="A6" s="15" t="s">
        <v>14</v>
      </c>
      <c r="B6" s="24" t="s">
        <v>101</v>
      </c>
      <c r="C6" s="24" t="s">
        <v>102</v>
      </c>
      <c r="D6" s="24" t="s">
        <v>170</v>
      </c>
      <c r="E6" s="24" t="s">
        <v>47</v>
      </c>
      <c r="F6" s="26" t="s">
        <v>103</v>
      </c>
      <c r="G6" s="16" t="s">
        <v>49</v>
      </c>
      <c r="H6" s="16">
        <v>3</v>
      </c>
      <c r="I6" s="27">
        <v>46056</v>
      </c>
      <c r="J6" s="18" t="s">
        <v>8</v>
      </c>
      <c r="K6" s="16" t="s">
        <v>50</v>
      </c>
      <c r="L6" s="24" t="s">
        <v>104</v>
      </c>
      <c r="M6" s="30" t="s">
        <v>105</v>
      </c>
      <c r="N6" s="24" t="s">
        <v>106</v>
      </c>
    </row>
    <row r="7" spans="1:14" ht="58.8" customHeight="1" x14ac:dyDescent="0.25">
      <c r="A7" s="15" t="s">
        <v>80</v>
      </c>
      <c r="B7" s="24" t="s">
        <v>115</v>
      </c>
      <c r="C7" s="24" t="s">
        <v>116</v>
      </c>
      <c r="D7" s="24" t="s">
        <v>171</v>
      </c>
      <c r="E7" s="24" t="s">
        <v>47</v>
      </c>
      <c r="F7" s="26" t="s">
        <v>117</v>
      </c>
      <c r="G7" s="20" t="s">
        <v>118</v>
      </c>
      <c r="H7" s="16">
        <v>2</v>
      </c>
      <c r="I7" s="27">
        <v>46056</v>
      </c>
      <c r="J7" s="18" t="s">
        <v>8</v>
      </c>
      <c r="K7" s="16" t="s">
        <v>50</v>
      </c>
      <c r="L7" s="24" t="s">
        <v>119</v>
      </c>
      <c r="M7" s="30" t="s">
        <v>120</v>
      </c>
      <c r="N7" s="24" t="s">
        <v>121</v>
      </c>
    </row>
    <row r="8" spans="1:14" ht="58.8" customHeight="1" x14ac:dyDescent="0.25">
      <c r="A8" s="15" t="s">
        <v>87</v>
      </c>
      <c r="B8" s="24" t="s">
        <v>123</v>
      </c>
      <c r="C8" s="24" t="s">
        <v>124</v>
      </c>
      <c r="D8" s="24" t="s">
        <v>172</v>
      </c>
      <c r="E8" s="24" t="s">
        <v>47</v>
      </c>
      <c r="F8" s="26" t="s">
        <v>125</v>
      </c>
      <c r="G8" s="20" t="s">
        <v>64</v>
      </c>
      <c r="H8" s="16">
        <v>2</v>
      </c>
      <c r="I8" s="27">
        <v>46056</v>
      </c>
      <c r="J8" s="18" t="s">
        <v>8</v>
      </c>
      <c r="K8" s="16" t="s">
        <v>50</v>
      </c>
      <c r="L8" s="24" t="s">
        <v>126</v>
      </c>
      <c r="M8" s="30" t="s">
        <v>127</v>
      </c>
      <c r="N8" s="24" t="s">
        <v>128</v>
      </c>
    </row>
    <row r="9" spans="1:14" ht="58.8" customHeight="1" x14ac:dyDescent="0.25">
      <c r="A9" s="15" t="s">
        <v>93</v>
      </c>
      <c r="B9" s="24" t="s">
        <v>88</v>
      </c>
      <c r="C9" s="26" t="s">
        <v>89</v>
      </c>
      <c r="D9" s="24" t="s">
        <v>173</v>
      </c>
      <c r="E9" s="24" t="s">
        <v>47</v>
      </c>
      <c r="F9" s="26" t="s">
        <v>90</v>
      </c>
      <c r="G9" s="24" t="s">
        <v>57</v>
      </c>
      <c r="H9" s="16">
        <v>1</v>
      </c>
      <c r="I9" s="27">
        <v>46056</v>
      </c>
      <c r="J9" s="18" t="s">
        <v>164</v>
      </c>
      <c r="K9" s="16" t="s">
        <v>50</v>
      </c>
      <c r="L9" s="24" t="s">
        <v>91</v>
      </c>
      <c r="M9" s="24" t="s">
        <v>85</v>
      </c>
      <c r="N9" s="24" t="s">
        <v>92</v>
      </c>
    </row>
    <row r="10" spans="1:14" ht="58.8" customHeight="1" x14ac:dyDescent="0.25">
      <c r="A10" s="15" t="s">
        <v>100</v>
      </c>
      <c r="B10" s="24" t="s">
        <v>74</v>
      </c>
      <c r="C10" s="24" t="s">
        <v>75</v>
      </c>
      <c r="D10" s="24" t="s">
        <v>174</v>
      </c>
      <c r="E10" s="24" t="s">
        <v>47</v>
      </c>
      <c r="F10" s="24" t="s">
        <v>76</v>
      </c>
      <c r="G10" s="20" t="s">
        <v>49</v>
      </c>
      <c r="H10" s="16">
        <v>3</v>
      </c>
      <c r="I10" s="27">
        <v>46056</v>
      </c>
      <c r="J10" s="18" t="s">
        <v>165</v>
      </c>
      <c r="K10" s="16" t="s">
        <v>50</v>
      </c>
      <c r="L10" s="28" t="s">
        <v>77</v>
      </c>
      <c r="M10" s="24" t="s">
        <v>78</v>
      </c>
      <c r="N10" s="24" t="s">
        <v>79</v>
      </c>
    </row>
    <row r="11" spans="1:14" ht="58.8" customHeight="1" x14ac:dyDescent="0.25">
      <c r="A11" s="15" t="s">
        <v>107</v>
      </c>
      <c r="B11" s="24" t="s">
        <v>81</v>
      </c>
      <c r="C11" s="29" t="s">
        <v>82</v>
      </c>
      <c r="D11" s="24" t="s">
        <v>175</v>
      </c>
      <c r="E11" s="24" t="s">
        <v>47</v>
      </c>
      <c r="F11" s="26" t="s">
        <v>83</v>
      </c>
      <c r="G11" s="16" t="s">
        <v>57</v>
      </c>
      <c r="H11" s="16">
        <v>2</v>
      </c>
      <c r="I11" s="27">
        <v>46056</v>
      </c>
      <c r="J11" s="18" t="s">
        <v>165</v>
      </c>
      <c r="K11" s="16" t="s">
        <v>50</v>
      </c>
      <c r="L11" s="24" t="s">
        <v>84</v>
      </c>
      <c r="M11" s="24" t="s">
        <v>85</v>
      </c>
      <c r="N11" s="24" t="s">
        <v>86</v>
      </c>
    </row>
    <row r="12" spans="1:14" ht="58.8" customHeight="1" x14ac:dyDescent="0.25">
      <c r="A12" s="15" t="s">
        <v>114</v>
      </c>
      <c r="B12" s="24" t="s">
        <v>94</v>
      </c>
      <c r="C12" s="26" t="s">
        <v>95</v>
      </c>
      <c r="D12" s="24" t="s">
        <v>176</v>
      </c>
      <c r="E12" s="24" t="s">
        <v>47</v>
      </c>
      <c r="F12" s="26" t="s">
        <v>96</v>
      </c>
      <c r="G12" s="24" t="s">
        <v>57</v>
      </c>
      <c r="H12" s="16">
        <v>1</v>
      </c>
      <c r="I12" s="27">
        <v>46056</v>
      </c>
      <c r="J12" s="18" t="s">
        <v>165</v>
      </c>
      <c r="K12" s="16" t="s">
        <v>50</v>
      </c>
      <c r="L12" s="24" t="s">
        <v>97</v>
      </c>
      <c r="M12" s="30" t="s">
        <v>98</v>
      </c>
      <c r="N12" s="24" t="s">
        <v>99</v>
      </c>
    </row>
    <row r="13" spans="1:14" ht="58.8" customHeight="1" x14ac:dyDescent="0.25">
      <c r="A13" s="15" t="s">
        <v>122</v>
      </c>
      <c r="B13" s="24" t="s">
        <v>108</v>
      </c>
      <c r="C13" s="24" t="s">
        <v>109</v>
      </c>
      <c r="D13" s="24" t="s">
        <v>177</v>
      </c>
      <c r="E13" s="24" t="s">
        <v>47</v>
      </c>
      <c r="F13" s="26" t="s">
        <v>110</v>
      </c>
      <c r="G13" s="24" t="s">
        <v>64</v>
      </c>
      <c r="H13" s="16">
        <v>3</v>
      </c>
      <c r="I13" s="27">
        <v>46056</v>
      </c>
      <c r="J13" s="18" t="s">
        <v>165</v>
      </c>
      <c r="K13" s="16" t="s">
        <v>50</v>
      </c>
      <c r="L13" s="24" t="s">
        <v>111</v>
      </c>
      <c r="M13" s="30" t="s">
        <v>112</v>
      </c>
      <c r="N13" s="24" t="s">
        <v>113</v>
      </c>
    </row>
    <row r="14" spans="1:14" ht="58.8" customHeight="1" x14ac:dyDescent="0.25">
      <c r="A14" s="15" t="s">
        <v>129</v>
      </c>
      <c r="B14" s="24" t="s">
        <v>130</v>
      </c>
      <c r="C14" s="24" t="s">
        <v>131</v>
      </c>
      <c r="D14" s="24" t="s">
        <v>178</v>
      </c>
      <c r="E14" s="24" t="s">
        <v>47</v>
      </c>
      <c r="F14" s="26" t="s">
        <v>132</v>
      </c>
      <c r="G14" s="24" t="s">
        <v>49</v>
      </c>
      <c r="H14" s="16">
        <v>5</v>
      </c>
      <c r="I14" s="27">
        <v>46056</v>
      </c>
      <c r="J14" s="18" t="s">
        <v>165</v>
      </c>
      <c r="K14" s="16" t="s">
        <v>50</v>
      </c>
      <c r="L14" s="24" t="s">
        <v>133</v>
      </c>
      <c r="M14" s="30" t="s">
        <v>134</v>
      </c>
      <c r="N14" s="24" t="s">
        <v>135</v>
      </c>
    </row>
    <row r="15" spans="1:14" ht="58.8" customHeight="1" x14ac:dyDescent="0.25">
      <c r="A15" s="15" t="s">
        <v>136</v>
      </c>
      <c r="B15" s="24" t="s">
        <v>137</v>
      </c>
      <c r="C15" s="24" t="s">
        <v>138</v>
      </c>
      <c r="D15" s="24" t="s">
        <v>179</v>
      </c>
      <c r="E15" s="24" t="s">
        <v>47</v>
      </c>
      <c r="F15" s="26" t="s">
        <v>139</v>
      </c>
      <c r="G15" s="16" t="s">
        <v>49</v>
      </c>
      <c r="H15" s="16">
        <v>6</v>
      </c>
      <c r="I15" s="27">
        <v>46056</v>
      </c>
      <c r="J15" s="18" t="s">
        <v>165</v>
      </c>
      <c r="K15" s="16" t="s">
        <v>50</v>
      </c>
      <c r="L15" s="24" t="s">
        <v>140</v>
      </c>
      <c r="M15" s="30" t="s">
        <v>141</v>
      </c>
      <c r="N15" s="24" t="s">
        <v>142</v>
      </c>
    </row>
    <row r="16" spans="1:14" ht="58.8" customHeight="1" x14ac:dyDescent="0.25">
      <c r="A16" s="15" t="s">
        <v>143</v>
      </c>
      <c r="B16" s="31" t="s">
        <v>144</v>
      </c>
      <c r="C16" s="31" t="s">
        <v>145</v>
      </c>
      <c r="D16" s="31" t="s">
        <v>180</v>
      </c>
      <c r="E16" s="24" t="s">
        <v>47</v>
      </c>
      <c r="F16" s="31" t="s">
        <v>146</v>
      </c>
      <c r="G16" s="16" t="s">
        <v>118</v>
      </c>
      <c r="H16" s="16">
        <v>5</v>
      </c>
      <c r="I16" s="27">
        <v>46056</v>
      </c>
      <c r="J16" s="18" t="s">
        <v>165</v>
      </c>
      <c r="K16" s="16" t="s">
        <v>50</v>
      </c>
      <c r="L16" s="32" t="s">
        <v>147</v>
      </c>
      <c r="M16" s="31" t="s">
        <v>148</v>
      </c>
      <c r="N16" s="33" t="s">
        <v>149</v>
      </c>
    </row>
    <row r="17" spans="1:14" ht="58.8" customHeight="1" x14ac:dyDescent="0.25">
      <c r="A17" s="15" t="s">
        <v>150</v>
      </c>
      <c r="B17" s="35" t="s">
        <v>151</v>
      </c>
      <c r="C17" s="35" t="s">
        <v>152</v>
      </c>
      <c r="D17" s="35" t="s">
        <v>181</v>
      </c>
      <c r="E17" s="16" t="s">
        <v>47</v>
      </c>
      <c r="F17" s="35" t="s">
        <v>153</v>
      </c>
      <c r="G17" s="16" t="s">
        <v>118</v>
      </c>
      <c r="H17" s="16">
        <v>3</v>
      </c>
      <c r="I17" s="17">
        <v>46056</v>
      </c>
      <c r="J17" s="18" t="s">
        <v>165</v>
      </c>
      <c r="K17" s="16" t="s">
        <v>50</v>
      </c>
      <c r="L17" s="35" t="s">
        <v>154</v>
      </c>
      <c r="M17" s="35" t="s">
        <v>155</v>
      </c>
      <c r="N17" s="36" t="s">
        <v>156</v>
      </c>
    </row>
    <row r="18" spans="1:14" ht="58.8" customHeight="1" x14ac:dyDescent="0.25">
      <c r="A18" s="15" t="s">
        <v>157</v>
      </c>
      <c r="B18" s="37" t="s">
        <v>158</v>
      </c>
      <c r="C18" s="37" t="s">
        <v>159</v>
      </c>
      <c r="D18" s="37" t="s">
        <v>182</v>
      </c>
      <c r="E18" s="20" t="s">
        <v>47</v>
      </c>
      <c r="F18" s="37" t="s">
        <v>160</v>
      </c>
      <c r="G18" s="20" t="s">
        <v>118</v>
      </c>
      <c r="H18" s="20">
        <v>2</v>
      </c>
      <c r="I18" s="38">
        <v>46056</v>
      </c>
      <c r="J18" s="39" t="s">
        <v>165</v>
      </c>
      <c r="K18" s="20" t="s">
        <v>50</v>
      </c>
      <c r="L18" s="37" t="s">
        <v>161</v>
      </c>
      <c r="M18" s="37" t="s">
        <v>162</v>
      </c>
      <c r="N18" s="40" t="s">
        <v>163</v>
      </c>
    </row>
    <row r="19" spans="1:14" ht="13.8" x14ac:dyDescent="0.25">
      <c r="A19" s="34"/>
      <c r="B19" s="31"/>
      <c r="C19" s="31"/>
      <c r="D19" s="31"/>
      <c r="E19" s="31"/>
      <c r="F19" s="31"/>
      <c r="G19" s="24"/>
      <c r="H19" s="24"/>
      <c r="I19" s="27"/>
      <c r="J19" s="24"/>
      <c r="K19" s="24"/>
      <c r="L19" s="31"/>
      <c r="M19" s="31"/>
      <c r="N19" s="33"/>
    </row>
    <row r="20" spans="1:14" ht="13.8" x14ac:dyDescent="0.25">
      <c r="A20" s="34"/>
      <c r="B20" s="24"/>
      <c r="C20" s="24"/>
      <c r="D20" s="24"/>
      <c r="E20" s="24"/>
      <c r="F20" s="24"/>
      <c r="G20" s="24"/>
      <c r="H20" s="24"/>
      <c r="I20" s="27"/>
      <c r="J20" s="24"/>
      <c r="K20" s="24"/>
      <c r="L20" s="28"/>
      <c r="M20" s="24"/>
      <c r="N20" s="24"/>
    </row>
    <row r="21" spans="1:14" ht="13.8" x14ac:dyDescent="0.25">
      <c r="A21" s="34"/>
      <c r="B21" s="24"/>
      <c r="C21" s="24"/>
      <c r="D21" s="24"/>
      <c r="E21" s="24"/>
      <c r="F21" s="24"/>
      <c r="G21" s="24"/>
      <c r="H21" s="24"/>
      <c r="I21" s="27"/>
      <c r="J21" s="24"/>
      <c r="K21" s="24"/>
      <c r="L21" s="28"/>
      <c r="M21" s="24"/>
      <c r="N21" s="24"/>
    </row>
    <row r="22" spans="1:14" ht="13.8" x14ac:dyDescent="0.25">
      <c r="A22" s="34"/>
      <c r="B22" s="24"/>
      <c r="C22" s="24"/>
      <c r="D22" s="24"/>
      <c r="E22" s="24"/>
      <c r="F22" s="26"/>
      <c r="G22" s="24"/>
      <c r="H22" s="24"/>
      <c r="I22" s="27"/>
      <c r="J22" s="24"/>
      <c r="K22" s="24"/>
      <c r="L22" s="28"/>
      <c r="M22" s="24"/>
      <c r="N22" s="24"/>
    </row>
    <row r="23" spans="1:14" ht="13.8" x14ac:dyDescent="0.25">
      <c r="A23" s="34"/>
      <c r="B23" s="24"/>
      <c r="C23" s="26"/>
      <c r="D23" s="24"/>
      <c r="E23" s="24"/>
      <c r="F23" s="26"/>
      <c r="G23" s="24"/>
      <c r="H23" s="24"/>
      <c r="I23" s="27"/>
      <c r="J23" s="24"/>
      <c r="K23" s="24"/>
      <c r="L23" s="28"/>
      <c r="M23" s="24"/>
      <c r="N23" s="24"/>
    </row>
  </sheetData>
  <conditionalFormatting sqref="K2:K18">
    <cfRule type="colorScale" priority="1">
      <colorScale>
        <cfvo type="min"/>
        <cfvo type="max"/>
        <color rgb="FF57BB8A"/>
        <color rgb="FFFFFFFF"/>
      </colorScale>
    </cfRule>
  </conditionalFormatting>
  <conditionalFormatting sqref="K19:K23">
    <cfRule type="colorScale" priority="2">
      <colorScale>
        <cfvo type="min"/>
        <cfvo type="max"/>
        <color rgb="FF57BB8A"/>
        <color rgb="FFFFFFFF"/>
      </colorScale>
    </cfRule>
  </conditionalFormatting>
  <dataValidations disablePrompts="1" count="4">
    <dataValidation type="list" allowBlank="1" showErrorMessage="1" sqref="J19:J23" xr:uid="{7F8C9198-9799-4729-8008-35261DE98BCF}">
      <formula1>$K$33:$K$35</formula1>
    </dataValidation>
    <dataValidation type="list" allowBlank="1" showErrorMessage="1" sqref="K19:K23" xr:uid="{AC7736E9-F955-4246-A960-2D8A2D2D53FE}">
      <formula1>$L$33:$L$36</formula1>
    </dataValidation>
    <dataValidation type="list" allowBlank="1" showErrorMessage="1" sqref="J2:J18" xr:uid="{55083F96-5102-4347-9F50-3968B82493B1}">
      <formula1>$K$34:$K$36</formula1>
    </dataValidation>
    <dataValidation type="list" allowBlank="1" showErrorMessage="1" sqref="K2:K18" xr:uid="{46D90E2D-A9A5-4C66-AC3E-9ADA7465CA67}">
      <formula1>$L$34:$L$37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85" zoomScaleNormal="85" workbookViewId="0">
      <selection activeCell="J3" sqref="J3"/>
    </sheetView>
  </sheetViews>
  <sheetFormatPr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26" width="12.44140625" customWidth="1"/>
  </cols>
  <sheetData>
    <row r="1" spans="1:26" ht="15.75" customHeigh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8" x14ac:dyDescent="0.25">
      <c r="A2" s="3" t="s">
        <v>7</v>
      </c>
      <c r="B2" s="44" t="str">
        <f>VLOOKUP(Backlog!A2,Data!$A$2:$N$18,14)</f>
        <v>Registrar Producto</v>
      </c>
      <c r="C2" s="44" t="str">
        <f>VLOOKUP(Backlog!$A2,Data!$A$2:$N$18,5)</f>
        <v>Propietario</v>
      </c>
      <c r="D2" s="44" t="str">
        <f>VLOOKUP(Backlog!$A2,Data!$A$2:$N$18,6)</f>
        <v>Ingresar datos del producto en formulario, el sistema genera código automático y valida información antes de guardar</v>
      </c>
      <c r="E2" s="44" t="str">
        <f>VLOOKUP(Backlog!$A2,Data!$A$2:$N$18,6)</f>
        <v>Ingresar datos del producto en formulario, el sistema genera código automático y valida información antes de guardar</v>
      </c>
      <c r="F2" s="44" t="str">
        <f>VLOOKUP(Backlog!$A2,Data!$A$2:$N$18,13)</f>
        <v>Códigos de producto no se reutilizan al eliminar</v>
      </c>
      <c r="G2" s="44" t="s">
        <v>8</v>
      </c>
      <c r="H2" s="44" t="s">
        <v>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79.2" x14ac:dyDescent="0.25">
      <c r="A3" s="3" t="s">
        <v>10</v>
      </c>
      <c r="B3" s="44" t="str">
        <f>VLOOKUP(Backlog!A3,Data!$A$2:$N$18,14)</f>
        <v>Actualizar Producto</v>
      </c>
      <c r="C3" s="44" t="str">
        <f>VLOOKUP(Backlog!$A3,Data!$A$2:$N$18,5)</f>
        <v>Propietario</v>
      </c>
      <c r="D3" s="44" t="str">
        <f>VLOOKUP(Backlog!$A3,Data!$A$2:$N$18,6)</f>
        <v>Seleccionar producto de lista, editar campos en formulario y guardar cambios validados</v>
      </c>
      <c r="E3" s="44" t="str">
        <f>VLOOKUP(Backlog!$A3,Data!$A$2:$N$18,6)</f>
        <v>Seleccionar producto de lista, editar campos en formulario y guardar cambios validados</v>
      </c>
      <c r="F3" s="44" t="str">
        <f>VLOOKUP(Backlog!$A3,Data!$A$2:$N$18,13)</f>
        <v>Permite incrementos y decrementos de stock con validaciones</v>
      </c>
      <c r="G3" s="44" t="s">
        <v>13</v>
      </c>
      <c r="H3" s="44" t="s">
        <v>9</v>
      </c>
    </row>
    <row r="4" spans="1:26" ht="66" x14ac:dyDescent="0.25">
      <c r="A4" s="3" t="s">
        <v>11</v>
      </c>
      <c r="B4" s="44" t="str">
        <f>VLOOKUP(Backlog!A4,Data!$A$2:$N$18,14)</f>
        <v>Consultar Producto</v>
      </c>
      <c r="C4" s="44" t="str">
        <f>VLOOKUP(Backlog!$A4,Data!$A$2:$N$18,5)</f>
        <v>Propietario</v>
      </c>
      <c r="D4" s="44" t="str">
        <f>VLOOKUP(Backlog!$A4,Data!$A$2:$N$18,6)</f>
        <v>Ingresar criterio de búsqueda (nombre o código), sistema muestra resultados coincidentes</v>
      </c>
      <c r="E4" s="44" t="str">
        <f>VLOOKUP(Backlog!$A4,Data!$A$2:$N$18,6)</f>
        <v>Ingresar criterio de búsqueda (nombre o código), sistema muestra resultados coincidentes</v>
      </c>
      <c r="F4" s="44" t="str">
        <f>VLOOKUP(Backlog!$A4,Data!$A$2:$N$18,13)</f>
        <v>Búsqueda por código prioritaria si tiene formato letra+dígitos</v>
      </c>
      <c r="G4" s="44" t="s">
        <v>165</v>
      </c>
      <c r="H4" s="44" t="s">
        <v>9</v>
      </c>
    </row>
    <row r="5" spans="1:26" ht="52.8" x14ac:dyDescent="0.25">
      <c r="A5" s="3" t="s">
        <v>12</v>
      </c>
      <c r="B5" s="44" t="str">
        <f>VLOOKUP(Backlog!A5,Data!$A$2:$N$18,14)</f>
        <v>Eliminar Producto</v>
      </c>
      <c r="C5" s="44" t="str">
        <f>VLOOKUP(Backlog!$A5,Data!$A$2:$N$18,5)</f>
        <v>Propietario</v>
      </c>
      <c r="D5" s="44" t="str">
        <f>VLOOKUP(Backlog!$A5,Data!$A$2:$N$18,6)</f>
        <v>Seleccionar producto, confirmar eliminación, sistema actualiza estado a Inactivo</v>
      </c>
      <c r="E5" s="44" t="str">
        <f>VLOOKUP(Backlog!$A5,Data!$A$2:$N$18,6)</f>
        <v>Seleccionar producto, confirmar eliminación, sistema actualiza estado a Inactivo</v>
      </c>
      <c r="F5" s="44" t="str">
        <f>VLOOKUP(Backlog!$A5,Data!$A$2:$N$18,13)</f>
        <v>Código del producto no se libera para reutilización</v>
      </c>
      <c r="G5" s="44" t="s">
        <v>8</v>
      </c>
      <c r="H5" s="44" t="s">
        <v>9</v>
      </c>
    </row>
    <row r="6" spans="1:26" ht="66" x14ac:dyDescent="0.25">
      <c r="A6" s="3" t="s">
        <v>14</v>
      </c>
      <c r="B6" s="44" t="str">
        <f>VLOOKUP(Backlog!A6,Data!$A$2:$N$18,14)</f>
        <v>Registrar Pedido</v>
      </c>
      <c r="C6" s="44" t="str">
        <f>VLOOKUP(Backlog!$A6,Data!$A$2:$N$18,5)</f>
        <v>Propietario</v>
      </c>
      <c r="D6" s="44" t="str">
        <f>VLOOKUP(Backlog!$A6,Data!$A$2:$N$18,6)</f>
        <v>Seleccionar cliente y productos, especificar cantidades, sistema calcula totales y guarda pedido</v>
      </c>
      <c r="E6" s="44" t="str">
        <f>VLOOKUP(Backlog!$A6,Data!$A$2:$N$18,6)</f>
        <v>Seleccionar cliente y productos, especificar cantidades, sistema calcula totales y guarda pedido</v>
      </c>
      <c r="F6" s="44" t="str">
        <f>VLOOKUP(Backlog!$A6,Data!$A$2:$N$18,13)</f>
        <v>Fecha auto-completada con fecha actual pero editable</v>
      </c>
      <c r="G6" s="44" t="s">
        <v>13</v>
      </c>
      <c r="H6" s="44" t="s">
        <v>9</v>
      </c>
    </row>
    <row r="7" spans="1:26" ht="39.6" x14ac:dyDescent="0.25">
      <c r="A7" s="3" t="s">
        <v>80</v>
      </c>
      <c r="B7" s="44" t="str">
        <f>VLOOKUP(Backlog!A7,Data!$A$2:$N$18,14)</f>
        <v>Consultar Pedido</v>
      </c>
      <c r="C7" s="44" t="str">
        <f>VLOOKUP(Backlog!$A7,Data!$A$2:$N$18,5)</f>
        <v>Propietario</v>
      </c>
      <c r="D7" s="44" t="str">
        <f>VLOOKUP(Backlog!$A7,Data!$A$2:$N$18,6)</f>
        <v>Aplicar filtros (ID, cliente, fechas, estado), sistema muestra resultados</v>
      </c>
      <c r="E7" s="44" t="str">
        <f>VLOOKUP(Backlog!$A7,Data!$A$2:$N$18,6)</f>
        <v>Aplicar filtros (ID, cliente, fechas, estado), sistema muestra resultados</v>
      </c>
      <c r="F7" s="44" t="str">
        <f>VLOOKUP(Backlog!$A7,Data!$A$2:$N$18,13)</f>
        <v>Interfaz intuitiva para filtrado</v>
      </c>
      <c r="G7" s="44" t="s">
        <v>165</v>
      </c>
      <c r="H7" s="44" t="s">
        <v>9</v>
      </c>
    </row>
    <row r="8" spans="1:26" ht="52.8" x14ac:dyDescent="0.25">
      <c r="A8" s="3" t="s">
        <v>87</v>
      </c>
      <c r="B8" s="44" t="str">
        <f>VLOOKUP(Backlog!A8,Data!$A$2:$N$18,14)</f>
        <v>Eliminar Pedido</v>
      </c>
      <c r="C8" s="44" t="str">
        <f>VLOOKUP(Backlog!$A8,Data!$A$2:$N$18,5)</f>
        <v>Propietario</v>
      </c>
      <c r="D8" s="44" t="str">
        <f>VLOOKUP(Backlog!$A8,Data!$A$2:$N$18,6)</f>
        <v>Seleccionar pedido, confirmar eliminación, actualizar estado a Cancelado y revertir stock</v>
      </c>
      <c r="E8" s="44" t="str">
        <f>VLOOKUP(Backlog!$A8,Data!$A$2:$N$18,6)</f>
        <v>Seleccionar pedido, confirmar eliminación, actualizar estado a Cancelado y revertir stock</v>
      </c>
      <c r="F8" s="44" t="str">
        <f>VLOOKUP(Backlog!$A8,Data!$A$2:$N$18,13)</f>
        <v>Eliminación lógica que conserva historial</v>
      </c>
      <c r="G8" s="44" t="s">
        <v>8</v>
      </c>
      <c r="H8" s="44" t="s">
        <v>9</v>
      </c>
    </row>
    <row r="9" spans="1:26" ht="26.4" x14ac:dyDescent="0.25">
      <c r="A9" s="3" t="s">
        <v>93</v>
      </c>
      <c r="B9" s="44" t="str">
        <f>VLOOKUP(Backlog!A9,Data!$A$2:$N$18,14)</f>
        <v>Consultar Cliente</v>
      </c>
      <c r="C9" s="44" t="str">
        <f>VLOOKUP(Backlog!$A9,Data!$A$2:$N$18,5)</f>
        <v>Propietario</v>
      </c>
      <c r="D9" s="44" t="str">
        <f>VLOOKUP(Backlog!$A9,Data!$A$2:$N$18,6)</f>
        <v>Ingresar criterio de búsqueda, sistema muestra resultados coincidentes</v>
      </c>
      <c r="E9" s="44" t="str">
        <f>VLOOKUP(Backlog!$A9,Data!$A$2:$N$18,6)</f>
        <v>Ingresar criterio de búsqueda, sistema muestra resultados coincidentes</v>
      </c>
      <c r="F9" s="44" t="str">
        <f>VLOOKUP(Backlog!$A9,Data!$A$2:$N$18,13)</f>
        <v/>
      </c>
      <c r="G9" s="44" t="s">
        <v>13</v>
      </c>
      <c r="H9" s="44" t="s">
        <v>9</v>
      </c>
    </row>
    <row r="10" spans="1:26" ht="39.6" x14ac:dyDescent="0.25">
      <c r="A10" s="3" t="s">
        <v>100</v>
      </c>
      <c r="B10" s="44" t="str">
        <f>VLOOKUP(Backlog!A10,Data!$A$2:$N$18,14)</f>
        <v>Registrar Cliente</v>
      </c>
      <c r="C10" s="44" t="str">
        <f>VLOOKUP(Backlog!$A10,Data!$A$2:$N$18,5)</f>
        <v>Propietario</v>
      </c>
      <c r="D10" s="44" t="str">
        <f>VLOOKUP(Backlog!$A10,Data!$A$2:$N$18,6)</f>
        <v>Ingresar datos del cliente en formulario, validar formatos y guardar en base de datos</v>
      </c>
      <c r="E10" s="44" t="str">
        <f>VLOOKUP(Backlog!$A10,Data!$A$2:$N$18,6)</f>
        <v>Ingresar datos del cliente en formulario, validar formatos y guardar en base de datos</v>
      </c>
      <c r="F10" s="44" t="str">
        <f>VLOOKUP(Backlog!$A10,Data!$A$2:$N$18,13)</f>
        <v>Todos los campos son obligatorios</v>
      </c>
      <c r="G10" s="44" t="s">
        <v>165</v>
      </c>
      <c r="H10" s="44" t="s">
        <v>9</v>
      </c>
    </row>
    <row r="11" spans="1:26" ht="26.4" x14ac:dyDescent="0.25">
      <c r="A11" s="3" t="s">
        <v>107</v>
      </c>
      <c r="B11" s="44" t="str">
        <f>VLOOKUP(Backlog!A11,Data!$A$2:$N$18,14)</f>
        <v>Actualizar Cliente</v>
      </c>
      <c r="C11" s="44" t="str">
        <f>VLOOKUP(Backlog!$A11,Data!$A$2:$N$18,5)</f>
        <v>Propietario</v>
      </c>
      <c r="D11" s="44" t="str">
        <f>VLOOKUP(Backlog!$A11,Data!$A$2:$N$18,6)</f>
        <v>Seleccionar cliente de lista, editar campos y guardar cambios validados</v>
      </c>
      <c r="E11" s="44" t="str">
        <f>VLOOKUP(Backlog!$A11,Data!$A$2:$N$18,6)</f>
        <v>Seleccionar cliente de lista, editar campos y guardar cambios validados</v>
      </c>
      <c r="F11" s="44" t="str">
        <f>VLOOKUP(Backlog!$A11,Data!$A$2:$N$18,13)</f>
        <v/>
      </c>
      <c r="G11" s="44" t="s">
        <v>8</v>
      </c>
      <c r="H11" s="44" t="s">
        <v>9</v>
      </c>
    </row>
    <row r="12" spans="1:26" ht="79.2" x14ac:dyDescent="0.25">
      <c r="A12" s="3" t="s">
        <v>114</v>
      </c>
      <c r="B12" s="44" t="str">
        <f>VLOOKUP(Backlog!A12,Data!$A$2:$N$18,14)</f>
        <v>Eliminar Cliente</v>
      </c>
      <c r="C12" s="44" t="str">
        <f>VLOOKUP(Backlog!$A12,Data!$A$2:$N$18,5)</f>
        <v>Propietario</v>
      </c>
      <c r="D12" s="44" t="str">
        <f>VLOOKUP(Backlog!$A12,Data!$A$2:$N$18,6)</f>
        <v>Seleccionar cliente, confirmar eliminación, actualizar estado a Inactivo</v>
      </c>
      <c r="E12" s="44" t="str">
        <f>VLOOKUP(Backlog!$A12,Data!$A$2:$N$18,6)</f>
        <v>Seleccionar cliente, confirmar eliminación, actualizar estado a Inactivo</v>
      </c>
      <c r="F12" s="44" t="str">
        <f>VLOOKUP(Backlog!$A12,Data!$A$2:$N$18,13)</f>
        <v>Puede alternarse vista entre clientes Activos e Inactivos</v>
      </c>
      <c r="G12" s="44" t="s">
        <v>13</v>
      </c>
      <c r="H12" s="44" t="s">
        <v>9</v>
      </c>
    </row>
    <row r="13" spans="1:26" ht="79.2" x14ac:dyDescent="0.25">
      <c r="A13" s="3" t="s">
        <v>122</v>
      </c>
      <c r="B13" s="44" t="str">
        <f>VLOOKUP(Backlog!A13,Data!$A$2:$N$18,14)</f>
        <v>Actualizar Pedido</v>
      </c>
      <c r="C13" s="44" t="str">
        <f>VLOOKUP(Backlog!$A13,Data!$A$2:$N$18,5)</f>
        <v>Propietario</v>
      </c>
      <c r="D13" s="44" t="str">
        <f>VLOOKUP(Backlog!$A13,Data!$A$2:$N$18,6)</f>
        <v>Seleccionar pedido, editar datos, sistema recalcula totales y actualiza inventario</v>
      </c>
      <c r="E13" s="44" t="str">
        <f>VLOOKUP(Backlog!$A13,Data!$A$2:$N$18,6)</f>
        <v>Seleccionar pedido, editar datos, sistema recalcula totales y actualiza inventario</v>
      </c>
      <c r="F13" s="44" t="str">
        <f>VLOOKUP(Backlog!$A13,Data!$A$2:$N$18,13)</f>
        <v>Ajusta inventario por aumentos o disminuciones de cantidades</v>
      </c>
      <c r="G13" s="44" t="s">
        <v>165</v>
      </c>
      <c r="H13" s="44" t="s">
        <v>9</v>
      </c>
    </row>
    <row r="14" spans="1:26" ht="79.2" x14ac:dyDescent="0.25">
      <c r="A14" s="3" t="s">
        <v>129</v>
      </c>
      <c r="B14" s="44" t="str">
        <f>VLOOKUP(Backlog!A14,Data!$A$2:$N$18,14)</f>
        <v>Controlar Estado de Pedido</v>
      </c>
      <c r="C14" s="44" t="str">
        <f>VLOOKUP(Backlog!$A14,Data!$A$2:$N$18,5)</f>
        <v>Propietario</v>
      </c>
      <c r="D14" s="44" t="str">
        <f>VLOOKUP(Backlog!$A14,Data!$A$2:$N$18,6)</f>
        <v>Seleccionar pedido, elegir nuevo estado de opciones permitidas, actualizar</v>
      </c>
      <c r="E14" s="44" t="str">
        <f>VLOOKUP(Backlog!$A14,Data!$A$2:$N$18,6)</f>
        <v>Seleccionar pedido, elegir nuevo estado de opciones permitidas, actualizar</v>
      </c>
      <c r="F14" s="44" t="str">
        <f>VLOOKUP(Backlog!$A14,Data!$A$2:$N$18,13)</f>
        <v>Estados: Pendiente, En Proceso, En Espera, Completado, Cancelado</v>
      </c>
      <c r="G14" s="44" t="s">
        <v>8</v>
      </c>
      <c r="H14" s="44" t="s">
        <v>9</v>
      </c>
    </row>
    <row r="15" spans="1:26" ht="79.2" x14ac:dyDescent="0.25">
      <c r="A15" s="3" t="s">
        <v>136</v>
      </c>
      <c r="B15" s="44" t="str">
        <f>VLOOKUP(Backlog!A15,Data!$A$2:$N$18,14)</f>
        <v>Generar Reporte de Pedidos</v>
      </c>
      <c r="C15" s="44" t="str">
        <f>VLOOKUP(Backlog!$A15,Data!$A$2:$N$18,5)</f>
        <v>Propietario</v>
      </c>
      <c r="D15" s="44" t="str">
        <f>VLOOKUP(Backlog!$A15,Data!$A$2:$N$18,6)</f>
        <v>Aplicar filtros deseados, generar reporte, descargar archivo Excel con información completa</v>
      </c>
      <c r="E15" s="44" t="str">
        <f>VLOOKUP(Backlog!$A15,Data!$A$2:$N$18,6)</f>
        <v>Aplicar filtros deseados, generar reporte, descargar archivo Excel con información completa</v>
      </c>
      <c r="F15" s="44" t="str">
        <f>VLOOKUP(Backlog!$A15,Data!$A$2:$N$18,13)</f>
        <v>Incluye agregados como total de ventas y productos vendidos</v>
      </c>
      <c r="G15" s="44" t="s">
        <v>13</v>
      </c>
      <c r="H15" s="44" t="s">
        <v>9</v>
      </c>
    </row>
    <row r="16" spans="1:26" ht="52.8" x14ac:dyDescent="0.25">
      <c r="A16" s="3" t="s">
        <v>143</v>
      </c>
      <c r="B16" s="44" t="str">
        <f>VLOOKUP(Backlog!A16,Data!$A$2:$N$18,14)</f>
        <v>Crear Nueva Mezcla Personalizada</v>
      </c>
      <c r="C16" s="44" t="str">
        <f>VLOOKUP(Backlog!$A16,Data!$A$2:$N$18,5)</f>
        <v>Propietario</v>
      </c>
      <c r="D16" s="44" t="str">
        <f>VLOOKUP(Backlog!$A16,Data!$A$2:$N$18,6)</f>
        <v>Seleccionar productos, ingresar cantidades en libras, sistema calcula precio dinámicamente</v>
      </c>
      <c r="E16" s="44" t="str">
        <f>VLOOKUP(Backlog!$A16,Data!$A$2:$N$18,6)</f>
        <v>Seleccionar productos, ingresar cantidades en libras, sistema calcula precio dinámicamente</v>
      </c>
      <c r="F16" s="44" t="str">
        <f>VLOOKUP(Backlog!$A16,Data!$A$2:$N$18,13)</f>
        <v>Nombre de mezcla: 3-25 caracteres alfanuméricos</v>
      </c>
      <c r="G16" s="44" t="s">
        <v>165</v>
      </c>
      <c r="H16" s="44" t="s">
        <v>9</v>
      </c>
    </row>
    <row r="17" spans="1:8" ht="66" x14ac:dyDescent="0.25">
      <c r="A17" s="3" t="s">
        <v>150</v>
      </c>
      <c r="B17" s="44" t="str">
        <f>VLOOKUP(Backlog!A17,Data!$A$2:$N$18,14)</f>
        <v>Consultar Mezclas Personalizadas</v>
      </c>
      <c r="C17" s="44" t="str">
        <f>VLOOKUP(Backlog!$A17,Data!$A$2:$N$18,5)</f>
        <v>Propietario</v>
      </c>
      <c r="D17" s="44" t="str">
        <f>VLOOKUP(Backlog!$A17,Data!$A$2:$N$18,6)</f>
        <v>Ver mezclas predefinidas y guardadas, recibir sugerencias, ajustar cantidades</v>
      </c>
      <c r="E17" s="44" t="str">
        <f>VLOOKUP(Backlog!$A17,Data!$A$2:$N$18,6)</f>
        <v>Ver mezclas predefinidas y guardadas, recibir sugerencias, ajustar cantidades</v>
      </c>
      <c r="F17" s="44" t="str">
        <f>VLOOKUP(Backlog!$A17,Data!$A$2:$N$18,13)</f>
        <v>Recomendaciones simples basadas en compras frecuentes</v>
      </c>
      <c r="G17" s="44" t="s">
        <v>8</v>
      </c>
      <c r="H17" s="44" t="s">
        <v>9</v>
      </c>
    </row>
    <row r="18" spans="1:8" ht="66" x14ac:dyDescent="0.25">
      <c r="A18" s="3" t="s">
        <v>157</v>
      </c>
      <c r="B18" s="44" t="str">
        <f>VLOOKUP(Backlog!A18,Data!$A$2:$N$18,14)</f>
        <v>Guardar Mezcla Personalizada</v>
      </c>
      <c r="C18" s="44" t="str">
        <f>VLOOKUP(Backlog!$A18,Data!$A$2:$N$18,5)</f>
        <v>Propietario</v>
      </c>
      <c r="D18" s="44" t="str">
        <f>VLOOKUP(Backlog!$A18,Data!$A$2:$N$18,6)</f>
        <v>Diseñar mezcla, ingresar nombre único, guardar en perfil</v>
      </c>
      <c r="E18" s="44" t="str">
        <f>VLOOKUP(Backlog!$A18,Data!$A$2:$N$18,6)</f>
        <v>Diseñar mezcla, ingresar nombre único, guardar en perfil</v>
      </c>
      <c r="F18" s="44" t="str">
        <f>VLOOKUP(Backlog!$A18,Data!$A$2:$N$18,13)</f>
        <v>Mezclas guardadas no afectan stock hasta usarse en pedido</v>
      </c>
      <c r="G18" s="44" t="s">
        <v>13</v>
      </c>
      <c r="H18" s="44" t="s">
        <v>9</v>
      </c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workbookViewId="0">
      <selection activeCell="B6" sqref="B6"/>
    </sheetView>
  </sheetViews>
  <sheetFormatPr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56.109375" customWidth="1"/>
    <col min="7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5" t="s">
        <v>15</v>
      </c>
      <c r="C3" s="5" t="s">
        <v>0</v>
      </c>
      <c r="D3" s="5" t="s">
        <v>1</v>
      </c>
      <c r="E3" s="5" t="s">
        <v>16</v>
      </c>
      <c r="F3" s="5" t="s">
        <v>17</v>
      </c>
      <c r="G3" s="5" t="s">
        <v>18</v>
      </c>
      <c r="H3" s="5" t="s">
        <v>4</v>
      </c>
      <c r="I3" s="5" t="s">
        <v>19</v>
      </c>
      <c r="J3" s="5" t="s">
        <v>20</v>
      </c>
    </row>
    <row r="4" spans="1:27" ht="79.2" x14ac:dyDescent="0.25">
      <c r="A4" s="4"/>
      <c r="B4" s="3" t="s">
        <v>7</v>
      </c>
      <c r="C4" s="44" t="s">
        <v>53</v>
      </c>
      <c r="D4" s="44" t="s">
        <v>47</v>
      </c>
      <c r="E4" s="44" t="s">
        <v>48</v>
      </c>
      <c r="F4" s="44" t="s">
        <v>48</v>
      </c>
      <c r="G4" s="44" t="s">
        <v>49</v>
      </c>
      <c r="H4" s="44" t="s">
        <v>52</v>
      </c>
      <c r="I4" s="44" t="s">
        <v>8</v>
      </c>
      <c r="J4" s="44" t="s">
        <v>9</v>
      </c>
      <c r="K4" s="4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66" x14ac:dyDescent="0.25">
      <c r="A5" s="4"/>
      <c r="B5" s="3" t="s">
        <v>10</v>
      </c>
      <c r="C5" s="44" t="s">
        <v>60</v>
      </c>
      <c r="D5" s="44" t="s">
        <v>47</v>
      </c>
      <c r="E5" s="44" t="s">
        <v>56</v>
      </c>
      <c r="F5" s="44" t="s">
        <v>56</v>
      </c>
      <c r="G5" s="44" t="s">
        <v>57</v>
      </c>
      <c r="H5" s="44" t="s">
        <v>59</v>
      </c>
      <c r="I5" s="44" t="s">
        <v>8</v>
      </c>
      <c r="J5" s="44" t="s">
        <v>9</v>
      </c>
      <c r="K5" s="4">
        <v>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5">
      <c r="A6" s="4"/>
      <c r="B6" s="4"/>
      <c r="C6" s="41"/>
      <c r="D6" s="42"/>
      <c r="E6" s="42"/>
      <c r="F6" s="42"/>
      <c r="G6" s="4"/>
      <c r="H6" s="4"/>
      <c r="I6" s="4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5">
      <c r="A7" s="4"/>
      <c r="B7" s="4"/>
      <c r="C7" s="41"/>
      <c r="D7" s="42"/>
      <c r="E7" s="42"/>
      <c r="F7" s="42"/>
      <c r="G7" s="4"/>
      <c r="H7" s="4"/>
      <c r="I7" s="4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5">
      <c r="A8" s="4"/>
      <c r="B8" s="4"/>
      <c r="C8" s="41"/>
      <c r="D8" s="42"/>
      <c r="E8" s="42"/>
      <c r="F8" s="4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5">
      <c r="B9" s="5"/>
      <c r="C9" s="5"/>
      <c r="D9" s="5"/>
      <c r="E9" s="5"/>
      <c r="F9" s="5"/>
      <c r="G9" s="5"/>
      <c r="H9" s="5"/>
      <c r="I9" s="5"/>
      <c r="J9" s="5"/>
    </row>
    <row r="10" spans="1:27" ht="15.75" customHeight="1" x14ac:dyDescent="0.25"/>
    <row r="11" spans="1:27" ht="15.75" customHeight="1" x14ac:dyDescent="0.25">
      <c r="B11" s="7"/>
      <c r="C11" s="7"/>
      <c r="D11" s="8"/>
      <c r="E11" s="8"/>
      <c r="F11" s="8"/>
      <c r="G11" s="7"/>
      <c r="H11" s="7"/>
      <c r="I11" s="8"/>
      <c r="J11" s="9"/>
    </row>
    <row r="12" spans="1:27" ht="15.75" customHeight="1" x14ac:dyDescent="0.25"/>
    <row r="13" spans="1:27" ht="15.75" customHeight="1" x14ac:dyDescent="0.25"/>
    <row r="14" spans="1:27" ht="15.75" customHeight="1" x14ac:dyDescent="0.25"/>
    <row r="15" spans="1:27" ht="15.75" customHeight="1" x14ac:dyDescent="0.25"/>
    <row r="16" spans="1:2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3">
    <mergeCell ref="C6:F6"/>
    <mergeCell ref="C7:F7"/>
    <mergeCell ref="C8:F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workbookViewId="0">
      <selection activeCell="H26" sqref="H26"/>
    </sheetView>
  </sheetViews>
  <sheetFormatPr defaultColWidth="12.6640625" defaultRowHeight="15" customHeight="1" x14ac:dyDescent="0.25"/>
  <cols>
    <col min="1" max="1" width="12.44140625" customWidth="1"/>
    <col min="2" max="2" width="24.4414062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7"/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</row>
    <row r="4" spans="2:9" ht="15.75" customHeight="1" x14ac:dyDescent="0.25">
      <c r="B4" s="10" t="s">
        <v>7</v>
      </c>
      <c r="C4" s="11">
        <v>4</v>
      </c>
      <c r="D4" s="9">
        <v>0</v>
      </c>
      <c r="E4" s="9">
        <v>1</v>
      </c>
      <c r="F4" s="9">
        <v>1</v>
      </c>
      <c r="G4" s="9">
        <v>0</v>
      </c>
      <c r="H4" s="9">
        <v>1</v>
      </c>
      <c r="I4" s="12">
        <f t="shared" ref="I4:I5" si="0">SUM(D4:H4)</f>
        <v>3</v>
      </c>
    </row>
    <row r="5" spans="2:9" ht="15.75" customHeight="1" x14ac:dyDescent="0.25">
      <c r="B5" s="10" t="s">
        <v>10</v>
      </c>
      <c r="C5" s="11">
        <v>2</v>
      </c>
      <c r="D5" s="9">
        <v>0</v>
      </c>
      <c r="E5" s="9">
        <v>1</v>
      </c>
      <c r="F5" s="9">
        <v>2</v>
      </c>
      <c r="G5" s="9">
        <v>1</v>
      </c>
      <c r="H5" s="9">
        <v>1</v>
      </c>
      <c r="I5" s="12">
        <f t="shared" si="0"/>
        <v>5</v>
      </c>
    </row>
    <row r="6" spans="2:9" ht="15.75" customHeight="1" x14ac:dyDescent="0.25"/>
    <row r="7" spans="2:9" ht="15.75" customHeight="1" x14ac:dyDescent="0.25"/>
    <row r="8" spans="2:9" ht="15.75" customHeight="1" x14ac:dyDescent="0.25"/>
    <row r="9" spans="2:9" ht="15.75" customHeight="1" x14ac:dyDescent="0.25"/>
    <row r="10" spans="2:9" ht="15.75" customHeight="1" x14ac:dyDescent="0.25">
      <c r="B10" s="13" t="s">
        <v>28</v>
      </c>
      <c r="C10" s="7">
        <f>SUM(C4:C5)</f>
        <v>6</v>
      </c>
      <c r="D10" s="7">
        <f t="shared" ref="D10:H10" si="1">C10-SUM(D4:D5)</f>
        <v>6</v>
      </c>
      <c r="E10" s="7">
        <f t="shared" si="1"/>
        <v>4</v>
      </c>
      <c r="F10" s="7">
        <f t="shared" si="1"/>
        <v>1</v>
      </c>
      <c r="G10" s="7">
        <f t="shared" si="1"/>
        <v>0</v>
      </c>
      <c r="H10" s="7">
        <f t="shared" si="1"/>
        <v>-2</v>
      </c>
    </row>
    <row r="11" spans="2:9" ht="15.75" customHeight="1" x14ac:dyDescent="0.25">
      <c r="B11" s="13" t="s">
        <v>29</v>
      </c>
      <c r="C11" s="7">
        <f>SUM(C4:C5)</f>
        <v>6</v>
      </c>
      <c r="D11" s="7">
        <f>C11-(SUM(C4:C5)/5)</f>
        <v>4.8</v>
      </c>
      <c r="E11" s="7">
        <f>D11-(SUM(C4:C5)/5)</f>
        <v>3.5999999999999996</v>
      </c>
      <c r="F11" s="7">
        <f>E11-(SUM(C4:C5)/5)</f>
        <v>2.3999999999999995</v>
      </c>
      <c r="G11" s="7">
        <f>F11-(SUM(C4:C5)/5)</f>
        <v>1.1999999999999995</v>
      </c>
      <c r="H11" s="7">
        <f>G11-(SUM(C4:C5)/5)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43" t="s">
        <v>30</v>
      </c>
      <c r="C15" s="42"/>
      <c r="D15" s="42"/>
      <c r="E15" s="42"/>
      <c r="F15" s="42"/>
      <c r="G15" s="42"/>
    </row>
    <row r="16" spans="2:9" ht="15.75" customHeight="1" x14ac:dyDescent="0.25">
      <c r="B16" s="42"/>
      <c r="C16" s="42"/>
      <c r="D16" s="42"/>
      <c r="E16" s="42"/>
      <c r="F16" s="42"/>
      <c r="G16" s="42"/>
    </row>
    <row r="17" spans="2:7" ht="15.75" customHeight="1" x14ac:dyDescent="0.25">
      <c r="B17" s="42"/>
      <c r="C17" s="42"/>
      <c r="D17" s="42"/>
      <c r="E17" s="42"/>
      <c r="F17" s="42"/>
      <c r="G17" s="42"/>
    </row>
    <row r="18" spans="2:7" ht="15.75" customHeight="1" x14ac:dyDescent="0.25">
      <c r="B18" s="42"/>
      <c r="C18" s="42"/>
      <c r="D18" s="42"/>
      <c r="E18" s="42"/>
      <c r="F18" s="42"/>
      <c r="G18" s="42"/>
    </row>
    <row r="19" spans="2:7" ht="15.75" customHeight="1" x14ac:dyDescent="0.25">
      <c r="B19" s="42"/>
      <c r="C19" s="42"/>
      <c r="D19" s="42"/>
      <c r="E19" s="42"/>
      <c r="F19" s="42"/>
      <c r="G19" s="42"/>
    </row>
    <row r="20" spans="2:7" ht="15.75" customHeight="1" x14ac:dyDescent="0.25">
      <c r="B20" s="42"/>
      <c r="C20" s="42"/>
      <c r="D20" s="42"/>
      <c r="E20" s="42"/>
      <c r="F20" s="42"/>
      <c r="G20" s="42"/>
    </row>
    <row r="21" spans="2:7" ht="15.75" customHeight="1" x14ac:dyDescent="0.25">
      <c r="B21" s="42"/>
      <c r="C21" s="42"/>
      <c r="D21" s="42"/>
      <c r="E21" s="42"/>
      <c r="F21" s="42"/>
      <c r="G21" s="42"/>
    </row>
    <row r="22" spans="2:7" ht="15.75" customHeight="1" x14ac:dyDescent="0.25">
      <c r="B22" s="42"/>
      <c r="C22" s="42"/>
      <c r="D22" s="42"/>
      <c r="E22" s="42"/>
      <c r="F22" s="42"/>
      <c r="G22" s="42"/>
    </row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CAETANO FLORES MAYA</cp:lastModifiedBy>
  <dcterms:created xsi:type="dcterms:W3CDTF">2023-06-05T13:12:31Z</dcterms:created>
  <dcterms:modified xsi:type="dcterms:W3CDTF">2025-12-04T12:10:32Z</dcterms:modified>
</cp:coreProperties>
</file>