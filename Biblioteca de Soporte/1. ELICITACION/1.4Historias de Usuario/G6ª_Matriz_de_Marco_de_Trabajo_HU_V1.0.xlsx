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aeta\Documents\6to\27837_G6_ADS\PREGAME\1. ELICITACION\1.3 Historias de Usuario\"/>
    </mc:Choice>
  </mc:AlternateContent>
  <xr:revisionPtr revIDLastSave="0" documentId="13_ncr:1_{C69AD45B-E877-46E5-849E-23906442FCF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6" i="1"/>
  <c r="M15" i="2"/>
  <c r="L22" i="2"/>
  <c r="E22" i="2"/>
  <c r="E19" i="2"/>
  <c r="H15" i="2"/>
  <c r="D15" i="2"/>
  <c r="H13" i="2"/>
  <c r="E13" i="2"/>
  <c r="H10" i="2"/>
  <c r="E10" i="2"/>
  <c r="C13" i="2" l="1"/>
</calcChain>
</file>

<file path=xl/sharedStrings.xml><?xml version="1.0" encoding="utf-8"?>
<sst xmlns="http://schemas.openxmlformats.org/spreadsheetml/2006/main" count="240" uniqueCount="171">
  <si>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</si>
  <si>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</si>
  <si>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</si>
  <si>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</si>
  <si>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</si>
  <si>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</si>
  <si>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</si>
  <si>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</si>
  <si>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</si>
  <si>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</si>
  <si>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</si>
  <si>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</si>
  <si>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</si>
  <si>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</si>
  <si>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</si>
  <si>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</si>
  <si>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</si>
  <si>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No iniciado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</si>
  <si>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</si>
  <si>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</si>
  <si>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</si>
  <si>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</si>
  <si>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</si>
  <si>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</si>
  <si>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</si>
  <si>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</si>
  <si>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</si>
  <si>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</si>
  <si>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</si>
  <si>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</si>
  <si>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</si>
  <si>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</si>
  <si>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REQ002</t>
  </si>
  <si>
    <t>REQ003</t>
  </si>
  <si>
    <t>REQ004</t>
  </si>
  <si>
    <t>REQ005</t>
  </si>
  <si>
    <t>REQ006</t>
  </si>
  <si>
    <t>REQ007</t>
  </si>
  <si>
    <t>Propietario</t>
  </si>
  <si>
    <t>Leonardo Narvaez</t>
  </si>
  <si>
    <t/>
  </si>
  <si>
    <t>El sistema debe permitir registrar productos nuevos</t>
  </si>
  <si>
    <t>Registrar nombre, precios, país de origen, stock e imagen del producto</t>
  </si>
  <si>
    <t>Para gestionar el inventario y controlar productos disponibles</t>
  </si>
  <si>
    <t>Ingresar datos del producto en formulario, el sistema genera código automático y valida información antes de guardar</t>
  </si>
  <si>
    <t>Validar campos obligatorios, rangos de precios (0.01-99.99), stock mayor a 0. Verificar código único generado y mensaje de confirmación.</t>
  </si>
  <si>
    <t>Códigos de producto no se reutilizan al eliminar</t>
  </si>
  <si>
    <t>Registrar Producto</t>
  </si>
  <si>
    <t>El sistema debe permitir actualizar datos de productos registrados</t>
  </si>
  <si>
    <t>Modificar nombre, precios, país, stock o imagen de productos existentes</t>
  </si>
  <si>
    <t>Para mantener actualizada la información del inventario</t>
  </si>
  <si>
    <t>Seleccionar producto de lista, editar campos en formulario y guardar cambios validados</t>
  </si>
  <si>
    <t>Validar que actualización cumpla mismas reglas que registro. Stock no puede ser negativo. Mensaje de confirmación al actualizar.</t>
  </si>
  <si>
    <t>Permite incrementos y decrementos de stock con validaciones</t>
  </si>
  <si>
    <t>Actualizar Producto</t>
  </si>
  <si>
    <t>El sistema debe permitir consultar información de productos</t>
  </si>
  <si>
    <t>Buscar productos por nombre o código y visualizar su información completa</t>
  </si>
  <si>
    <t>Para revisar disponibilidad y detalles de productos registrados</t>
  </si>
  <si>
    <t>Ingresar criterio de búsqueda (nombre o código), sistema muestra resultados coincidentes</t>
  </si>
  <si>
    <t>Búsqueda por código exacto muestra un producto. Búsqueda por nombre muestra coincidencias parciales. Mensaje si no hay resultados.</t>
  </si>
  <si>
    <t>Búsqueda por código prioritaria si tiene formato letra+dígitos</t>
  </si>
  <si>
    <t>Consultar Producto</t>
  </si>
  <si>
    <t>El sistema debe permitir desactivar productos</t>
  </si>
  <si>
    <t>Marcar productos como inactivos sin eliminarlos físicamente</t>
  </si>
  <si>
    <t>Para mantener historial y evitar uso en nuevas transacciones</t>
  </si>
  <si>
    <t>Seleccionar producto, confirmar eliminación, sistema actualiza estado a Inactivo</t>
  </si>
  <si>
    <t>Producto marcado como Inactivo no aparece en selecciones futuras pero conserva historial. Confirmación de desactivación exitosa.</t>
  </si>
  <si>
    <t>Código del producto no se libera para reutilización</t>
  </si>
  <si>
    <t>Eliminar Producto</t>
  </si>
  <si>
    <t>El sistema debe permitir registrar clientes nuevos</t>
  </si>
  <si>
    <t>Registrar nombre, identificación, correo, teléfono y dirección del cliente</t>
  </si>
  <si>
    <t>Para gestionar información de clientes y asociarlos a pedidos</t>
  </si>
  <si>
    <t>Ingresar datos del cliente en formulario, validar formatos y guardar en base de datos</t>
  </si>
  <si>
    <t>Validar campos obligatorios, formato de cédula/RUC/pasaporte, email y teléfono válidos. Identificación única. Mensaje de confirmación.</t>
  </si>
  <si>
    <t>Todos los campos son obligatorios</t>
  </si>
  <si>
    <t>Registrar Cliente</t>
  </si>
  <si>
    <t>El sistema debe permitir actualizar datos de clientes</t>
  </si>
  <si>
    <t>Modificar información de clientes registrados</t>
  </si>
  <si>
    <t>Para mantener datos de clientes actualizados</t>
  </si>
  <si>
    <t>Seleccionar cliente de lista, editar campos y guardar cambios validados</t>
  </si>
  <si>
    <t>Validar mismas reglas que registro. Verificar formatos de identificación, email y teléfono. Mensaje de confirmación.</t>
  </si>
  <si>
    <t>Actualizar Cliente</t>
  </si>
  <si>
    <t>El sistema debe permitir consultar información de clientes</t>
  </si>
  <si>
    <t>Buscar clientes por nombre o identificación</t>
  </si>
  <si>
    <t>Para revisar información de clientes registrados</t>
  </si>
  <si>
    <t>Ingresar criterio de búsqueda, sistema muestra resultados coincidentes</t>
  </si>
  <si>
    <t>Búsqueda exacta o parcial muestra clientes coincidentes. Mensaje si no hay resultados.</t>
  </si>
  <si>
    <t>Consultar Cliente</t>
  </si>
  <si>
    <t>El sistema debe permitir desactivar clientes</t>
  </si>
  <si>
    <t>Marcar clientes como inactivos lógicamente</t>
  </si>
  <si>
    <t>Para excluirlos de nuevas selecciones pero mantener historial</t>
  </si>
  <si>
    <t>Seleccionar cliente, confirmar eliminación, actualizar estado a Inactivo</t>
  </si>
  <si>
    <t>Cliente marcado Inactivo no disponible para nuevos pedidos. Historial se conserva. Mensaje de confirmación.</t>
  </si>
  <si>
    <t>Puede alternarse vista entre clientes Activos e Inactivos</t>
  </si>
  <si>
    <t>Eliminar Cliente</t>
  </si>
  <si>
    <t>El sistema debe permitir registrar pedidos nuevos</t>
  </si>
  <si>
    <t>Asociar cliente, productos, cantidades y calcular totales del pedido</t>
  </si>
  <si>
    <t>Para gestionar ventas y controlar inventario</t>
  </si>
  <si>
    <t>Seleccionar cliente y productos, especificar cantidades, sistema calcula totales y guarda pedido</t>
  </si>
  <si>
    <t>Validar cliente seleccionado, productos con cantidad mayor a 0, stock disponible, formato de fecha DD/MM/AAAA. Confirmación y ID único generado.</t>
  </si>
  <si>
    <t>Fecha auto-completada con fecha actual pero editable</t>
  </si>
  <si>
    <t>Registrar Pedido</t>
  </si>
  <si>
    <t>El sistema debe permitir actualizar pedidos existentes</t>
  </si>
  <si>
    <t>Modificar cliente o productos de un pedido registrado</t>
  </si>
  <si>
    <t>Para corregir errores o ajustar pedidos antes de completarlos</t>
  </si>
  <si>
    <t>Seleccionar pedido, editar datos, sistema recalcula totales y actualiza inventario</t>
  </si>
  <si>
    <t>Validar cliente y productos válidos, stock disponible para aumentos. Recalculo correcto de totales. Mensaje de confirmación.</t>
  </si>
  <si>
    <t>Ajusta inventario por aumentos o disminuciones de cantidades</t>
  </si>
  <si>
    <t>Actualizar Pedido</t>
  </si>
  <si>
    <t>El sistema debe permitir consultar información de pedidos</t>
  </si>
  <si>
    <t>Buscar y visualizar detalles de pedidos por filtros</t>
  </si>
  <si>
    <t>Para revisar historial y estado de pedidos</t>
  </si>
  <si>
    <t>Aplicar filtros (ID, cliente, fechas, estado), sistema muestra resultados</t>
  </si>
  <si>
    <t>Filtros funcionan correctamente. Visualización completa de información del pedido. Mensaje si no hay resultados.</t>
  </si>
  <si>
    <t>Interfaz intuitiva para filtrado</t>
  </si>
  <si>
    <t>Consultar Pedido</t>
  </si>
  <si>
    <t>El sistema debe permitir eliminar pedidos</t>
  </si>
  <si>
    <t>Cancelar pedidos y revertir cambios en inventario</t>
  </si>
  <si>
    <t>Para anular pedidos incorrectos y restaurar stock</t>
  </si>
  <si>
    <t>Seleccionar pedido, confirmar eliminación, actualizar estado a Cancelado y revertir stock</t>
  </si>
  <si>
    <t>Pedido marcado como Cancelado. Stock revertido correctamente. Historial conservado. Mensaje de confirmación.</t>
  </si>
  <si>
    <t>Eliminación lógica que conserva historial</t>
  </si>
  <si>
    <t>Eliminar Pedido</t>
  </si>
  <si>
    <t>El sistema debe permitir controlar el estado de pedidos</t>
  </si>
  <si>
    <t>Actualizar estado del pedido según avance</t>
  </si>
  <si>
    <t>Para seguimiento del proceso de cada pedido</t>
  </si>
  <si>
    <t>Seleccionar pedido, elegir nuevo estado de opciones permitidas, actualizar</t>
  </si>
  <si>
    <t>Validar transiciones permitidas entre estados. No permitir cambios desde Completado o Cancelado. Mensaje de confirmación.</t>
  </si>
  <si>
    <t>Estados: Pendiente, En Proceso, En Espera, Completado, Cancelado</t>
  </si>
  <si>
    <t>Controlar Estado de Pedido</t>
  </si>
  <si>
    <t>El sistema debe permitir generar reportes de pedidos</t>
  </si>
  <si>
    <t>Exportar datos de pedidos filtrados a archivo Excel</t>
  </si>
  <si>
    <t>Para análisis de ventas y toma de decisiones</t>
  </si>
  <si>
    <t>Aplicar filtros deseados, generar reporte, descargar archivo Excel con información completa</t>
  </si>
  <si>
    <t>Archivo Excel generado con información correcta según filtros. Incluye datos de pedido, cliente, productos, totales y resúmenes.</t>
  </si>
  <si>
    <t>Incluye agregados como total de ventas y productos vendidos</t>
  </si>
  <si>
    <t>Generar Reporte de Pedidos</t>
  </si>
  <si>
    <t>El sistema debe permitir crear mezclas personalizadas</t>
  </si>
  <si>
    <t>Seleccionar productos, especificar cantidades y calcular precio total de mezcla</t>
  </si>
  <si>
    <t>Para ofrecer productos personalizados a clientes</t>
  </si>
  <si>
    <t>Seleccionar productos, ingresar cantidades en libras, sistema calcula precio dinámicamente</t>
  </si>
  <si>
    <t>Productos añadidos correctamente. Cantidades válidas y stock disponible. Cálculo de precio correcto. Opciones de guardar o agregar a pedido funcionan.</t>
  </si>
  <si>
    <t>Nombre de mezcla: 3-25 caracteres alfanuméricos</t>
  </si>
  <si>
    <t>Crear Nueva Mezcla Personalizada</t>
  </si>
  <si>
    <t>REQ008</t>
  </si>
  <si>
    <t>REQ009</t>
  </si>
  <si>
    <t>REQ010</t>
  </si>
  <si>
    <t>REQ011</t>
  </si>
  <si>
    <t>REQ012</t>
  </si>
  <si>
    <t>REQ013</t>
  </si>
  <si>
    <t>REQ014</t>
  </si>
  <si>
    <t>REQ015</t>
  </si>
  <si>
    <t>El sistema debe permitir consultar mezclas personalizadas</t>
  </si>
  <si>
    <t>Visualizar mezclas guardadas y recibir recomendaciones</t>
  </si>
  <si>
    <t>Para reutilizar mezclas y sugerir combinaciones basadas en historial</t>
  </si>
  <si>
    <t>Ver mezclas predefinidas y guardadas, recibir sugerencias, ajustar cantidades</t>
  </si>
  <si>
    <t>Mezclas guardadas se muestran correctamente. Recomendaciones basadas en historial. Cálculos dinámicos de precio y nutrición funcionan.</t>
  </si>
  <si>
    <t>Recomendaciones simples basadas en compras frecuentes</t>
  </si>
  <si>
    <t>Consultar Mezclas Personalizadas</t>
  </si>
  <si>
    <t>El sistema debe permitir guardar mezclas personalizadas</t>
  </si>
  <si>
    <t>Almacenar mezclas diseñadas para uso futuro</t>
  </si>
  <si>
    <t>Para reutilizar combinaciones favoritas en pedidos futuros</t>
  </si>
  <si>
    <t>Diseñar mezcla, ingresar nombre único, guardar en perfil</t>
  </si>
  <si>
    <t>Nombre no vacío y no excede 100 caracteres. Mezcla guardada en base de datos. Mensaje de confirmación.</t>
  </si>
  <si>
    <t>Mezclas guardadas no afectan stock hasta usarse en pedido</t>
  </si>
  <si>
    <t>Guardar Mezcla Personalizada</t>
  </si>
  <si>
    <t>REQ016</t>
  </si>
  <si>
    <t>REQ017</t>
  </si>
  <si>
    <t>Caetano Flores</t>
  </si>
  <si>
    <t>AnthonyMorales</t>
  </si>
  <si>
    <t>Jordan Guaman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</si>
</sst>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0"/>
      <color theme="1"/>
      <name val="Arial Narrow"/>
    </font>
    <font>
      <sz val="10"/>
      <color rgb="FF000000"/>
      <name val="Arial Narrow"/>
    </font>
    <font>
      <sz val="11"/>
      <color theme="1"/>
      <name val="Arial Narrow"/>
    </font>
    <font>
      <sz val="11"/>
      <color rgb="FF000000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8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" fillId="0" borderId="4" xfId="0" applyFont="1" applyBorder="1"/>
    <xf numFmtId="0" fontId="5" fillId="3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/>
    <xf numFmtId="0" fontId="12" fillId="0" borderId="0" xfId="0" applyFont="1"/>
    <xf numFmtId="0" fontId="9" fillId="0" borderId="0" xfId="0" applyFont="1" applyAlignment="1">
      <alignment horizontal="center" vertical="center" wrapText="1"/>
    </xf>
    <xf numFmtId="0" fontId="12" fillId="5" borderId="5" xfId="0" applyFont="1" applyFill="1" applyBorder="1"/>
    <xf numFmtId="0" fontId="9" fillId="5" borderId="6" xfId="0" applyFont="1" applyFill="1" applyBorder="1" applyAlignment="1">
      <alignment horizontal="left" vertical="center" wrapText="1"/>
    </xf>
    <xf numFmtId="0" fontId="10" fillId="5" borderId="6" xfId="0" applyFont="1" applyFill="1" applyBorder="1"/>
    <xf numFmtId="0" fontId="12" fillId="5" borderId="6" xfId="0" applyFont="1" applyFill="1" applyBorder="1"/>
    <xf numFmtId="0" fontId="12" fillId="5" borderId="7" xfId="0" applyFont="1" applyFill="1" applyBorder="1"/>
    <xf numFmtId="0" fontId="12" fillId="5" borderId="8" xfId="0" applyFont="1" applyFill="1" applyBorder="1"/>
    <xf numFmtId="0" fontId="13" fillId="6" borderId="4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vertical="center"/>
    </xf>
    <xf numFmtId="0" fontId="12" fillId="5" borderId="9" xfId="0" applyFont="1" applyFill="1" applyBorder="1"/>
    <xf numFmtId="0" fontId="12" fillId="5" borderId="10" xfId="0" applyFont="1" applyFill="1" applyBorder="1"/>
    <xf numFmtId="0" fontId="15" fillId="7" borderId="4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vertical="center" wrapText="1"/>
    </xf>
    <xf numFmtId="0" fontId="10" fillId="5" borderId="9" xfId="0" applyFont="1" applyFill="1" applyBorder="1" applyAlignment="1">
      <alignment vertical="center"/>
    </xf>
    <xf numFmtId="0" fontId="15" fillId="5" borderId="9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/>
    </xf>
    <xf numFmtId="0" fontId="12" fillId="5" borderId="28" xfId="0" applyFont="1" applyFill="1" applyBorder="1"/>
    <xf numFmtId="0" fontId="12" fillId="5" borderId="29" xfId="0" applyFont="1" applyFill="1" applyBorder="1"/>
    <xf numFmtId="0" fontId="12" fillId="5" borderId="30" xfId="0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164" fontId="5" fillId="0" borderId="11" xfId="0" applyNumberFormat="1" applyFont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164" fontId="5" fillId="0" borderId="18" xfId="0" applyNumberFormat="1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14" fontId="5" fillId="0" borderId="3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3" fillId="8" borderId="11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8" xfId="0" applyFont="1" applyBorder="1"/>
    <xf numFmtId="0" fontId="16" fillId="9" borderId="12" xfId="0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19" xfId="0" applyFont="1" applyBorder="1"/>
    <xf numFmtId="0" fontId="3" fillId="0" borderId="20" xfId="0" applyFont="1" applyBorder="1"/>
    <xf numFmtId="0" fontId="13" fillId="6" borderId="12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7" xfId="0" applyFont="1" applyBorder="1"/>
    <xf numFmtId="49" fontId="10" fillId="7" borderId="12" xfId="0" applyNumberFormat="1" applyFont="1" applyFill="1" applyBorder="1" applyAlignment="1">
      <alignment horizontal="left" vertical="center" wrapText="1"/>
    </xf>
    <xf numFmtId="0" fontId="3" fillId="0" borderId="14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3" fillId="0" borderId="16" xfId="0" applyFont="1" applyBorder="1" applyAlignment="1">
      <alignment wrapText="1"/>
    </xf>
    <xf numFmtId="0" fontId="0" fillId="0" borderId="0" xfId="0" applyAlignment="1">
      <alignment wrapText="1"/>
    </xf>
    <xf numFmtId="0" fontId="3" fillId="0" borderId="17" xfId="0" applyFont="1" applyBorder="1" applyAlignment="1">
      <alignment wrapText="1"/>
    </xf>
    <xf numFmtId="0" fontId="3" fillId="0" borderId="19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3" fillId="0" borderId="20" xfId="0" applyFont="1" applyBorder="1" applyAlignment="1">
      <alignment wrapText="1"/>
    </xf>
    <xf numFmtId="0" fontId="11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0" fillId="0" borderId="0" xfId="0"/>
    <xf numFmtId="0" fontId="3" fillId="0" borderId="21" xfId="0" applyFont="1" applyBorder="1"/>
    <xf numFmtId="0" fontId="10" fillId="7" borderId="12" xfId="0" applyFont="1" applyFill="1" applyBorder="1" applyAlignment="1">
      <alignment horizontal="left" vertical="center" wrapText="1"/>
    </xf>
    <xf numFmtId="0" fontId="15" fillId="2" borderId="22" xfId="0" applyFont="1" applyFill="1" applyBorder="1" applyAlignment="1">
      <alignment horizontal="center" vertical="center"/>
    </xf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2"/>
  <sheetViews>
    <sheetView showGridLines="0" tabSelected="1" topLeftCell="E3" zoomScale="70" zoomScaleNormal="70" workbookViewId="0">
      <selection activeCell="R6" sqref="R6"/>
    </sheetView>
  </sheetViews>
  <sheetFormatPr defaultColWidth="12.69921875" defaultRowHeight="15" customHeight="1" x14ac:dyDescent="0.25"/>
  <cols>
    <col min="1" max="1" width="4.69921875" customWidth="1"/>
    <col min="2" max="2" width="6.69921875" customWidth="1"/>
    <col min="3" max="5" width="20.69921875" customWidth="1"/>
    <col min="6" max="6" width="13.19921875" customWidth="1"/>
    <col min="7" max="7" width="32.5" customWidth="1"/>
    <col min="8" max="12" width="10.69921875" customWidth="1"/>
    <col min="13" max="13" width="32.69921875" customWidth="1"/>
    <col min="14" max="15" width="20.69921875" customWidth="1"/>
    <col min="16" max="26" width="9.3984375" customWidth="1"/>
  </cols>
  <sheetData>
    <row r="1" spans="1:26" ht="13.8" x14ac:dyDescent="0.25">
      <c r="A1" s="1">
        <v>4</v>
      </c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8" x14ac:dyDescent="0.25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25">
      <c r="A3" s="1"/>
      <c r="B3" s="50" t="s">
        <v>0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2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8" x14ac:dyDescent="0.25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x14ac:dyDescent="0.25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1.4" x14ac:dyDescent="0.25">
      <c r="A6" s="1"/>
      <c r="B6" s="5" t="s">
        <v>15</v>
      </c>
      <c r="C6" s="41" t="s">
        <v>41</v>
      </c>
      <c r="D6" s="41" t="s">
        <v>42</v>
      </c>
      <c r="E6" s="41" t="s">
        <v>43</v>
      </c>
      <c r="F6" s="41" t="s">
        <v>38</v>
      </c>
      <c r="G6" s="41" t="s">
        <v>44</v>
      </c>
      <c r="H6" s="41" t="s">
        <v>39</v>
      </c>
      <c r="I6" s="41">
        <f ca="1">RANDBETWEEN(4,14)</f>
        <v>6</v>
      </c>
      <c r="J6" s="42">
        <v>46056</v>
      </c>
      <c r="K6" s="43" t="s">
        <v>16</v>
      </c>
      <c r="L6" s="41" t="s">
        <v>17</v>
      </c>
      <c r="M6" s="44" t="s">
        <v>45</v>
      </c>
      <c r="N6" s="41" t="s">
        <v>46</v>
      </c>
      <c r="O6" s="41" t="s">
        <v>47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1.4" x14ac:dyDescent="0.25">
      <c r="A7" s="1"/>
      <c r="B7" s="40" t="s">
        <v>32</v>
      </c>
      <c r="C7" s="48" t="s">
        <v>48</v>
      </c>
      <c r="D7" s="48" t="s">
        <v>49</v>
      </c>
      <c r="E7" s="48" t="s">
        <v>50</v>
      </c>
      <c r="F7" s="48" t="s">
        <v>38</v>
      </c>
      <c r="G7" s="48" t="s">
        <v>51</v>
      </c>
      <c r="H7" s="48" t="s">
        <v>168</v>
      </c>
      <c r="I7" s="41">
        <f t="shared" ref="I7:I22" ca="1" si="0">RANDBETWEEN(4,14)</f>
        <v>4</v>
      </c>
      <c r="J7" s="49">
        <v>46056</v>
      </c>
      <c r="K7" s="43" t="s">
        <v>16</v>
      </c>
      <c r="L7" s="41" t="s">
        <v>17</v>
      </c>
      <c r="M7" s="48" t="s">
        <v>52</v>
      </c>
      <c r="N7" s="48" t="s">
        <v>53</v>
      </c>
      <c r="O7" s="48" t="s">
        <v>54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5.2" x14ac:dyDescent="0.25">
      <c r="A8" s="1"/>
      <c r="B8" s="5" t="s">
        <v>33</v>
      </c>
      <c r="C8" s="45" t="s">
        <v>55</v>
      </c>
      <c r="D8" s="45" t="s">
        <v>56</v>
      </c>
      <c r="E8" s="45" t="s">
        <v>57</v>
      </c>
      <c r="F8" s="45" t="s">
        <v>38</v>
      </c>
      <c r="G8" s="46" t="s">
        <v>58</v>
      </c>
      <c r="H8" s="6" t="s">
        <v>169</v>
      </c>
      <c r="I8" s="41">
        <f t="shared" ca="1" si="0"/>
        <v>8</v>
      </c>
      <c r="J8" s="47">
        <v>46056</v>
      </c>
      <c r="K8" s="43" t="s">
        <v>16</v>
      </c>
      <c r="L8" s="41" t="s">
        <v>17</v>
      </c>
      <c r="M8" s="45" t="s">
        <v>59</v>
      </c>
      <c r="N8" s="45" t="s">
        <v>60</v>
      </c>
      <c r="O8" s="45" t="s">
        <v>61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1.4" x14ac:dyDescent="0.25">
      <c r="A9" s="1"/>
      <c r="B9" s="5" t="s">
        <v>34</v>
      </c>
      <c r="C9" s="6" t="s">
        <v>62</v>
      </c>
      <c r="D9" s="9" t="s">
        <v>63</v>
      </c>
      <c r="E9" s="6" t="s">
        <v>64</v>
      </c>
      <c r="F9" s="6" t="s">
        <v>38</v>
      </c>
      <c r="G9" s="9" t="s">
        <v>65</v>
      </c>
      <c r="H9" s="6" t="s">
        <v>169</v>
      </c>
      <c r="I9" s="41">
        <f t="shared" ca="1" si="0"/>
        <v>7</v>
      </c>
      <c r="J9" s="7">
        <v>46056</v>
      </c>
      <c r="K9" s="43" t="s">
        <v>16</v>
      </c>
      <c r="L9" s="41" t="s">
        <v>17</v>
      </c>
      <c r="M9" s="6" t="s">
        <v>66</v>
      </c>
      <c r="N9" s="6" t="s">
        <v>67</v>
      </c>
      <c r="O9" s="6" t="s">
        <v>68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4.5" customHeight="1" x14ac:dyDescent="0.25">
      <c r="A10" s="1"/>
      <c r="B10" s="5" t="s">
        <v>35</v>
      </c>
      <c r="C10" s="6" t="s">
        <v>69</v>
      </c>
      <c r="D10" s="6" t="s">
        <v>70</v>
      </c>
      <c r="E10" s="6" t="s">
        <v>71</v>
      </c>
      <c r="F10" s="6" t="s">
        <v>38</v>
      </c>
      <c r="G10" s="6" t="s">
        <v>72</v>
      </c>
      <c r="H10" s="41" t="s">
        <v>39</v>
      </c>
      <c r="I10" s="41">
        <f t="shared" ca="1" si="0"/>
        <v>8</v>
      </c>
      <c r="J10" s="7">
        <v>46056</v>
      </c>
      <c r="K10" s="43" t="s">
        <v>16</v>
      </c>
      <c r="L10" s="41" t="s">
        <v>17</v>
      </c>
      <c r="M10" s="8" t="s">
        <v>73</v>
      </c>
      <c r="N10" s="6" t="s">
        <v>74</v>
      </c>
      <c r="O10" s="6" t="s">
        <v>75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61.5" customHeight="1" x14ac:dyDescent="0.25">
      <c r="A11" s="1"/>
      <c r="B11" s="5" t="s">
        <v>36</v>
      </c>
      <c r="C11" s="6" t="s">
        <v>76</v>
      </c>
      <c r="D11" s="10" t="s">
        <v>77</v>
      </c>
      <c r="E11" s="6" t="s">
        <v>78</v>
      </c>
      <c r="F11" s="6" t="s">
        <v>38</v>
      </c>
      <c r="G11" s="9" t="s">
        <v>79</v>
      </c>
      <c r="H11" s="48" t="s">
        <v>168</v>
      </c>
      <c r="I11" s="41">
        <f t="shared" ca="1" si="0"/>
        <v>10</v>
      </c>
      <c r="J11" s="7">
        <v>46056</v>
      </c>
      <c r="K11" s="43" t="s">
        <v>16</v>
      </c>
      <c r="L11" s="41" t="s">
        <v>17</v>
      </c>
      <c r="M11" s="6" t="s">
        <v>80</v>
      </c>
      <c r="N11" s="6" t="s">
        <v>40</v>
      </c>
      <c r="O11" s="6" t="s">
        <v>81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70.5" customHeight="1" x14ac:dyDescent="0.25">
      <c r="A12" s="1"/>
      <c r="B12" s="5" t="s">
        <v>37</v>
      </c>
      <c r="C12" s="6" t="s">
        <v>82</v>
      </c>
      <c r="D12" s="9" t="s">
        <v>83</v>
      </c>
      <c r="E12" s="6" t="s">
        <v>84</v>
      </c>
      <c r="F12" s="6" t="s">
        <v>38</v>
      </c>
      <c r="G12" s="9" t="s">
        <v>85</v>
      </c>
      <c r="H12" s="48" t="s">
        <v>168</v>
      </c>
      <c r="I12" s="41">
        <f t="shared" ca="1" si="0"/>
        <v>7</v>
      </c>
      <c r="J12" s="7">
        <v>46056</v>
      </c>
      <c r="K12" s="43" t="s">
        <v>16</v>
      </c>
      <c r="L12" s="41" t="s">
        <v>17</v>
      </c>
      <c r="M12" s="6" t="s">
        <v>86</v>
      </c>
      <c r="N12" s="6" t="s">
        <v>40</v>
      </c>
      <c r="O12" s="6" t="s">
        <v>87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61.5" customHeight="1" x14ac:dyDescent="0.25">
      <c r="A13" s="1"/>
      <c r="B13" s="5" t="s">
        <v>144</v>
      </c>
      <c r="C13" s="6" t="s">
        <v>88</v>
      </c>
      <c r="D13" s="9" t="s">
        <v>89</v>
      </c>
      <c r="E13" s="6" t="s">
        <v>90</v>
      </c>
      <c r="F13" s="6" t="s">
        <v>38</v>
      </c>
      <c r="G13" s="9" t="s">
        <v>91</v>
      </c>
      <c r="H13" s="48" t="s">
        <v>168</v>
      </c>
      <c r="I13" s="41">
        <f t="shared" ca="1" si="0"/>
        <v>4</v>
      </c>
      <c r="J13" s="7">
        <v>46056</v>
      </c>
      <c r="K13" s="43" t="s">
        <v>16</v>
      </c>
      <c r="L13" s="41" t="s">
        <v>17</v>
      </c>
      <c r="M13" s="6" t="s">
        <v>92</v>
      </c>
      <c r="N13" s="11" t="s">
        <v>93</v>
      </c>
      <c r="O13" s="6" t="s">
        <v>94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8.5" customHeight="1" x14ac:dyDescent="0.25">
      <c r="A14" s="1"/>
      <c r="B14" s="5" t="s">
        <v>145</v>
      </c>
      <c r="C14" s="6" t="s">
        <v>95</v>
      </c>
      <c r="D14" s="6" t="s">
        <v>96</v>
      </c>
      <c r="E14" s="6" t="s">
        <v>97</v>
      </c>
      <c r="F14" s="6" t="s">
        <v>38</v>
      </c>
      <c r="G14" s="9" t="s">
        <v>98</v>
      </c>
      <c r="H14" s="41" t="s">
        <v>39</v>
      </c>
      <c r="I14" s="41">
        <f t="shared" ca="1" si="0"/>
        <v>9</v>
      </c>
      <c r="J14" s="7">
        <v>46056</v>
      </c>
      <c r="K14" s="43" t="s">
        <v>16</v>
      </c>
      <c r="L14" s="41" t="s">
        <v>17</v>
      </c>
      <c r="M14" s="6" t="s">
        <v>99</v>
      </c>
      <c r="N14" s="11" t="s">
        <v>100</v>
      </c>
      <c r="O14" s="6" t="s">
        <v>101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.75" customHeight="1" x14ac:dyDescent="0.25">
      <c r="A15" s="1"/>
      <c r="B15" s="5" t="s">
        <v>146</v>
      </c>
      <c r="C15" s="6" t="s">
        <v>102</v>
      </c>
      <c r="D15" s="6" t="s">
        <v>103</v>
      </c>
      <c r="E15" s="6" t="s">
        <v>104</v>
      </c>
      <c r="F15" s="6" t="s">
        <v>38</v>
      </c>
      <c r="G15" s="9" t="s">
        <v>105</v>
      </c>
      <c r="H15" s="6" t="s">
        <v>169</v>
      </c>
      <c r="I15" s="41">
        <f t="shared" ca="1" si="0"/>
        <v>5</v>
      </c>
      <c r="J15" s="7">
        <v>46056</v>
      </c>
      <c r="K15" s="43" t="s">
        <v>16</v>
      </c>
      <c r="L15" s="41" t="s">
        <v>17</v>
      </c>
      <c r="M15" s="6" t="s">
        <v>106</v>
      </c>
      <c r="N15" s="11" t="s">
        <v>107</v>
      </c>
      <c r="O15" s="6" t="s">
        <v>108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72" customHeight="1" x14ac:dyDescent="0.25">
      <c r="A16" s="1"/>
      <c r="B16" s="5" t="s">
        <v>147</v>
      </c>
      <c r="C16" s="6" t="s">
        <v>109</v>
      </c>
      <c r="D16" s="6" t="s">
        <v>110</v>
      </c>
      <c r="E16" s="6" t="s">
        <v>111</v>
      </c>
      <c r="F16" s="6" t="s">
        <v>38</v>
      </c>
      <c r="G16" s="9" t="s">
        <v>112</v>
      </c>
      <c r="H16" s="6" t="s">
        <v>170</v>
      </c>
      <c r="I16" s="41">
        <f t="shared" ca="1" si="0"/>
        <v>14</v>
      </c>
      <c r="J16" s="7">
        <v>46056</v>
      </c>
      <c r="K16" s="43" t="s">
        <v>16</v>
      </c>
      <c r="L16" s="41" t="s">
        <v>17</v>
      </c>
      <c r="M16" s="6" t="s">
        <v>113</v>
      </c>
      <c r="N16" s="11" t="s">
        <v>114</v>
      </c>
      <c r="O16" s="6" t="s">
        <v>115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customHeight="1" x14ac:dyDescent="0.25">
      <c r="A17" s="1"/>
      <c r="B17" s="5" t="s">
        <v>148</v>
      </c>
      <c r="C17" s="6" t="s">
        <v>116</v>
      </c>
      <c r="D17" s="6" t="s">
        <v>117</v>
      </c>
      <c r="E17" s="6" t="s">
        <v>118</v>
      </c>
      <c r="F17" s="6" t="s">
        <v>38</v>
      </c>
      <c r="G17" s="9" t="s">
        <v>119</v>
      </c>
      <c r="H17" s="6" t="s">
        <v>169</v>
      </c>
      <c r="I17" s="41">
        <f t="shared" ca="1" si="0"/>
        <v>11</v>
      </c>
      <c r="J17" s="7">
        <v>46056</v>
      </c>
      <c r="K17" s="43" t="s">
        <v>16</v>
      </c>
      <c r="L17" s="41" t="s">
        <v>17</v>
      </c>
      <c r="M17" s="6" t="s">
        <v>120</v>
      </c>
      <c r="N17" s="11" t="s">
        <v>121</v>
      </c>
      <c r="O17" s="6" t="s">
        <v>122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 customHeight="1" x14ac:dyDescent="0.25">
      <c r="A18" s="1"/>
      <c r="B18" s="5" t="s">
        <v>149</v>
      </c>
      <c r="C18" s="6" t="s">
        <v>123</v>
      </c>
      <c r="D18" s="6" t="s">
        <v>124</v>
      </c>
      <c r="E18" s="6" t="s">
        <v>125</v>
      </c>
      <c r="F18" s="6" t="s">
        <v>38</v>
      </c>
      <c r="G18" s="9" t="s">
        <v>126</v>
      </c>
      <c r="H18" s="41" t="s">
        <v>39</v>
      </c>
      <c r="I18" s="41">
        <f t="shared" ca="1" si="0"/>
        <v>9</v>
      </c>
      <c r="J18" s="7">
        <v>46056</v>
      </c>
      <c r="K18" s="43" t="s">
        <v>16</v>
      </c>
      <c r="L18" s="41" t="s">
        <v>17</v>
      </c>
      <c r="M18" s="6" t="s">
        <v>127</v>
      </c>
      <c r="N18" s="11" t="s">
        <v>128</v>
      </c>
      <c r="O18" s="6" t="s">
        <v>129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9.75" customHeight="1" x14ac:dyDescent="0.25">
      <c r="A19" s="1"/>
      <c r="B19" s="5" t="s">
        <v>150</v>
      </c>
      <c r="C19" s="6" t="s">
        <v>130</v>
      </c>
      <c r="D19" s="6" t="s">
        <v>131</v>
      </c>
      <c r="E19" s="6" t="s">
        <v>132</v>
      </c>
      <c r="F19" s="6" t="s">
        <v>38</v>
      </c>
      <c r="G19" s="9" t="s">
        <v>133</v>
      </c>
      <c r="H19" s="41" t="s">
        <v>39</v>
      </c>
      <c r="I19" s="41">
        <f t="shared" ca="1" si="0"/>
        <v>8</v>
      </c>
      <c r="J19" s="7">
        <v>46056</v>
      </c>
      <c r="K19" s="43" t="s">
        <v>16</v>
      </c>
      <c r="L19" s="41" t="s">
        <v>17</v>
      </c>
      <c r="M19" s="6" t="s">
        <v>134</v>
      </c>
      <c r="N19" s="11" t="s">
        <v>135</v>
      </c>
      <c r="O19" s="6" t="s">
        <v>136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5.2" x14ac:dyDescent="0.25">
      <c r="A20" s="1"/>
      <c r="B20" s="5" t="s">
        <v>151</v>
      </c>
      <c r="C20" s="13" t="s">
        <v>137</v>
      </c>
      <c r="D20" s="13" t="s">
        <v>138</v>
      </c>
      <c r="E20" s="13" t="s">
        <v>139</v>
      </c>
      <c r="F20" s="13" t="s">
        <v>38</v>
      </c>
      <c r="G20" s="13" t="s">
        <v>140</v>
      </c>
      <c r="H20" s="6" t="s">
        <v>170</v>
      </c>
      <c r="I20" s="41">
        <f t="shared" ca="1" si="0"/>
        <v>8</v>
      </c>
      <c r="J20" s="7">
        <v>46056</v>
      </c>
      <c r="K20" s="43" t="s">
        <v>16</v>
      </c>
      <c r="L20" s="41" t="s">
        <v>17</v>
      </c>
      <c r="M20" s="14" t="s">
        <v>141</v>
      </c>
      <c r="N20" s="13" t="s">
        <v>142</v>
      </c>
      <c r="O20" s="15" t="s">
        <v>143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1.4" x14ac:dyDescent="0.25">
      <c r="A21" s="1"/>
      <c r="B21" s="5" t="s">
        <v>166</v>
      </c>
      <c r="C21" s="13" t="s">
        <v>152</v>
      </c>
      <c r="D21" s="13" t="s">
        <v>153</v>
      </c>
      <c r="E21" s="13" t="s">
        <v>154</v>
      </c>
      <c r="F21" s="13" t="s">
        <v>38</v>
      </c>
      <c r="G21" s="13" t="s">
        <v>155</v>
      </c>
      <c r="H21" s="6" t="s">
        <v>170</v>
      </c>
      <c r="I21" s="41">
        <f t="shared" ca="1" si="0"/>
        <v>10</v>
      </c>
      <c r="J21" s="7">
        <v>46056</v>
      </c>
      <c r="K21" s="43" t="s">
        <v>16</v>
      </c>
      <c r="L21" s="41" t="s">
        <v>17</v>
      </c>
      <c r="M21" s="13" t="s">
        <v>156</v>
      </c>
      <c r="N21" s="13" t="s">
        <v>157</v>
      </c>
      <c r="O21" s="15" t="s">
        <v>158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41.4" x14ac:dyDescent="0.25">
      <c r="A22" s="1"/>
      <c r="B22" s="5" t="s">
        <v>167</v>
      </c>
      <c r="C22" s="13" t="s">
        <v>159</v>
      </c>
      <c r="D22" s="13" t="s">
        <v>160</v>
      </c>
      <c r="E22" s="13" t="s">
        <v>161</v>
      </c>
      <c r="F22" s="13" t="s">
        <v>38</v>
      </c>
      <c r="G22" s="13" t="s">
        <v>162</v>
      </c>
      <c r="H22" s="6" t="s">
        <v>170</v>
      </c>
      <c r="I22" s="41">
        <f t="shared" ca="1" si="0"/>
        <v>13</v>
      </c>
      <c r="J22" s="7">
        <v>46056</v>
      </c>
      <c r="K22" s="43" t="s">
        <v>16</v>
      </c>
      <c r="L22" s="41" t="s">
        <v>17</v>
      </c>
      <c r="M22" s="13" t="s">
        <v>163</v>
      </c>
      <c r="N22" s="13" t="s">
        <v>164</v>
      </c>
      <c r="O22" s="15" t="s">
        <v>165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8" x14ac:dyDescent="0.25">
      <c r="A23" s="1"/>
      <c r="B23" s="12"/>
      <c r="C23" s="13"/>
      <c r="D23" s="13"/>
      <c r="E23" s="13"/>
      <c r="F23" s="13"/>
      <c r="G23" s="13"/>
      <c r="H23" s="6"/>
      <c r="I23" s="6"/>
      <c r="J23" s="7"/>
      <c r="K23" s="6"/>
      <c r="L23" s="6"/>
      <c r="M23" s="13"/>
      <c r="N23" s="13"/>
      <c r="O23" s="15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8" x14ac:dyDescent="0.25">
      <c r="A24" s="1"/>
      <c r="B24" s="12"/>
      <c r="C24" s="6"/>
      <c r="D24" s="6"/>
      <c r="E24" s="6"/>
      <c r="F24" s="6"/>
      <c r="G24" s="6"/>
      <c r="H24" s="6"/>
      <c r="I24" s="6"/>
      <c r="J24" s="7"/>
      <c r="K24" s="6"/>
      <c r="L24" s="6"/>
      <c r="M24" s="8"/>
      <c r="N24" s="6"/>
      <c r="O24" s="6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75.75" customHeight="1" x14ac:dyDescent="0.25">
      <c r="A25" s="1"/>
      <c r="B25" s="12"/>
      <c r="C25" s="6"/>
      <c r="D25" s="6"/>
      <c r="E25" s="6"/>
      <c r="F25" s="6"/>
      <c r="G25" s="6"/>
      <c r="H25" s="6"/>
      <c r="I25" s="6"/>
      <c r="J25" s="7"/>
      <c r="K25" s="6"/>
      <c r="L25" s="6"/>
      <c r="M25" s="8"/>
      <c r="N25" s="6"/>
      <c r="O25" s="6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75.75" customHeight="1" x14ac:dyDescent="0.25">
      <c r="A26" s="1"/>
      <c r="B26" s="12"/>
      <c r="C26" s="6"/>
      <c r="D26" s="6"/>
      <c r="E26" s="6"/>
      <c r="F26" s="6"/>
      <c r="G26" s="9"/>
      <c r="H26" s="6"/>
      <c r="I26" s="6"/>
      <c r="J26" s="7"/>
      <c r="K26" s="6"/>
      <c r="L26" s="6"/>
      <c r="M26" s="8"/>
      <c r="N26" s="6"/>
      <c r="O26" s="6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75.75" customHeight="1" x14ac:dyDescent="0.25">
      <c r="A27" s="1"/>
      <c r="B27" s="12"/>
      <c r="C27" s="6"/>
      <c r="D27" s="9"/>
      <c r="E27" s="6"/>
      <c r="F27" s="6"/>
      <c r="G27" s="9"/>
      <c r="H27" s="6"/>
      <c r="I27" s="6"/>
      <c r="J27" s="7"/>
      <c r="K27" s="6"/>
      <c r="L27" s="6"/>
      <c r="M27" s="8"/>
      <c r="N27" s="6"/>
      <c r="O27" s="6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25">
      <c r="A28" s="1"/>
      <c r="B28" s="1"/>
      <c r="C28" s="1"/>
      <c r="D28" s="1"/>
      <c r="E28" s="1"/>
      <c r="F28" s="1"/>
      <c r="G28" s="1"/>
      <c r="H28" s="1"/>
      <c r="I28" s="2"/>
      <c r="J28" s="2"/>
      <c r="K28" s="16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25">
      <c r="A29" s="1"/>
      <c r="B29" s="1"/>
      <c r="C29" s="1"/>
      <c r="D29" s="1"/>
      <c r="E29" s="1"/>
      <c r="F29" s="1"/>
      <c r="G29" s="1"/>
      <c r="H29" s="1"/>
      <c r="I29" s="2"/>
      <c r="J29" s="2"/>
      <c r="K29" s="16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25">
      <c r="A30" s="1"/>
      <c r="B30" s="1"/>
      <c r="C30" s="1"/>
      <c r="D30" s="1"/>
      <c r="E30" s="1"/>
      <c r="F30" s="1"/>
      <c r="G30" s="1"/>
      <c r="H30" s="1"/>
      <c r="I30" s="2"/>
      <c r="J30" s="2"/>
      <c r="K30" s="3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25">
      <c r="A31" s="1"/>
      <c r="B31" s="1"/>
      <c r="C31" s="1"/>
      <c r="D31" s="1"/>
      <c r="E31" s="1"/>
      <c r="F31" s="1"/>
      <c r="G31" s="1"/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25">
      <c r="A32" s="1"/>
      <c r="B32" s="1"/>
      <c r="C32" s="1"/>
      <c r="D32" s="1"/>
      <c r="E32" s="1"/>
      <c r="F32" s="1"/>
      <c r="G32" s="1"/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25">
      <c r="A33" s="1"/>
      <c r="B33" s="1"/>
      <c r="C33" s="1"/>
      <c r="D33" s="1"/>
      <c r="E33" s="1"/>
      <c r="F33" s="1"/>
      <c r="G33" s="1"/>
      <c r="H33" s="1"/>
      <c r="I33" s="2"/>
      <c r="J33" s="1"/>
      <c r="K33" s="3" t="s">
        <v>16</v>
      </c>
      <c r="L33" s="3" t="s">
        <v>17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25">
      <c r="A34" s="1"/>
      <c r="B34" s="1"/>
      <c r="C34" s="1"/>
      <c r="D34" s="1"/>
      <c r="E34" s="1"/>
      <c r="F34" s="1"/>
      <c r="G34" s="1"/>
      <c r="H34" s="1"/>
      <c r="I34" s="2"/>
      <c r="J34" s="1"/>
      <c r="K34" s="3" t="s">
        <v>18</v>
      </c>
      <c r="L34" s="3" t="s">
        <v>19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 x14ac:dyDescent="0.25">
      <c r="A35" s="1"/>
      <c r="B35" s="1"/>
      <c r="C35" s="1"/>
      <c r="D35" s="1"/>
      <c r="E35" s="1"/>
      <c r="F35" s="1"/>
      <c r="G35" s="1"/>
      <c r="H35" s="1"/>
      <c r="I35" s="2"/>
      <c r="J35" s="1"/>
      <c r="K35" s="3" t="s">
        <v>20</v>
      </c>
      <c r="L35" s="3" t="s">
        <v>21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 x14ac:dyDescent="0.25">
      <c r="A36" s="1"/>
      <c r="B36" s="1"/>
      <c r="C36" s="1"/>
      <c r="D36" s="1"/>
      <c r="E36" s="1"/>
      <c r="F36" s="1"/>
      <c r="G36" s="1"/>
      <c r="H36" s="1"/>
      <c r="I36" s="2"/>
      <c r="J36" s="1"/>
      <c r="K36" s="3"/>
      <c r="L36" s="3" t="s">
        <v>22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 x14ac:dyDescent="0.25">
      <c r="A37" s="1"/>
      <c r="B37" s="1"/>
      <c r="C37" s="1"/>
      <c r="D37" s="1"/>
      <c r="E37" s="1"/>
      <c r="F37" s="1"/>
      <c r="G37" s="1"/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 x14ac:dyDescent="0.25">
      <c r="A38" s="1"/>
      <c r="B38" s="1"/>
      <c r="C38" s="1"/>
      <c r="D38" s="1"/>
      <c r="E38" s="1"/>
      <c r="F38" s="1"/>
      <c r="G38" s="1"/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2"/>
      <c r="J41" s="2"/>
      <c r="K41" s="3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2"/>
      <c r="J42" s="2"/>
      <c r="K42" s="3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2"/>
      <c r="J43" s="2"/>
      <c r="K43" s="3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2"/>
      <c r="J44" s="2"/>
      <c r="K44" s="3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2"/>
      <c r="J45" s="2"/>
      <c r="K45" s="3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2"/>
      <c r="J46" s="2"/>
      <c r="K46" s="3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2"/>
      <c r="J47" s="2"/>
      <c r="K47" s="3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2"/>
      <c r="J48" s="2"/>
      <c r="K48" s="3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2"/>
      <c r="J49" s="2"/>
      <c r="K49" s="3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2"/>
      <c r="J50" s="2"/>
      <c r="K50" s="3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2"/>
      <c r="J51" s="2"/>
      <c r="K51" s="3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2"/>
      <c r="J52" s="2"/>
      <c r="K52" s="3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2"/>
      <c r="J53" s="2"/>
      <c r="K53" s="3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2"/>
      <c r="J54" s="2"/>
      <c r="K54" s="3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2"/>
      <c r="J55" s="2"/>
      <c r="K55" s="3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2"/>
      <c r="J56" s="2"/>
      <c r="K56" s="3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2"/>
      <c r="J57" s="2"/>
      <c r="K57" s="3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2"/>
      <c r="J58" s="2"/>
      <c r="K58" s="3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2"/>
      <c r="J59" s="2"/>
      <c r="K59" s="3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2"/>
      <c r="J60" s="2"/>
      <c r="K60" s="3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2"/>
      <c r="J61" s="2"/>
      <c r="K61" s="3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2"/>
      <c r="J62" s="2"/>
      <c r="K62" s="3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2"/>
      <c r="J63" s="2"/>
      <c r="K63" s="3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2"/>
      <c r="J64" s="2"/>
      <c r="K64" s="3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2"/>
      <c r="J65" s="2"/>
      <c r="K65" s="3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2"/>
      <c r="J66" s="2"/>
      <c r="K66" s="3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2"/>
      <c r="J67" s="2"/>
      <c r="K67" s="3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2"/>
      <c r="J68" s="2"/>
      <c r="K68" s="3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2"/>
      <c r="J69" s="2"/>
      <c r="K69" s="3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2"/>
      <c r="J70" s="2"/>
      <c r="K70" s="3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2"/>
      <c r="J71" s="2"/>
      <c r="K71" s="3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2"/>
      <c r="J72" s="2"/>
      <c r="K72" s="3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2"/>
      <c r="J73" s="2"/>
      <c r="K73" s="3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2"/>
      <c r="J74" s="2"/>
      <c r="K74" s="3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2"/>
      <c r="J75" s="2"/>
      <c r="K75" s="3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2"/>
      <c r="J76" s="2"/>
      <c r="K76" s="3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2"/>
      <c r="J77" s="2"/>
      <c r="K77" s="3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2"/>
      <c r="J78" s="2"/>
      <c r="K78" s="3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2"/>
      <c r="J79" s="2"/>
      <c r="K79" s="3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2"/>
      <c r="J80" s="2"/>
      <c r="K80" s="3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2"/>
      <c r="J81" s="2"/>
      <c r="K81" s="3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2"/>
      <c r="J82" s="2"/>
      <c r="K82" s="3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2"/>
      <c r="J83" s="2"/>
      <c r="K83" s="3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2"/>
      <c r="J84" s="2"/>
      <c r="K84" s="3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2"/>
      <c r="J85" s="2"/>
      <c r="K85" s="3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2"/>
      <c r="J86" s="2"/>
      <c r="K86" s="3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2"/>
      <c r="J87" s="2"/>
      <c r="K87" s="3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2"/>
      <c r="J88" s="2"/>
      <c r="K88" s="3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2"/>
      <c r="J89" s="2"/>
      <c r="K89" s="3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2"/>
      <c r="J90" s="2"/>
      <c r="K90" s="3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2"/>
      <c r="J91" s="2"/>
      <c r="K91" s="3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2"/>
      <c r="J92" s="2"/>
      <c r="K92" s="3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2"/>
      <c r="J93" s="2"/>
      <c r="K93" s="3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2"/>
      <c r="J94" s="2"/>
      <c r="K94" s="3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2"/>
      <c r="J95" s="2"/>
      <c r="K95" s="3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2"/>
      <c r="J96" s="2"/>
      <c r="K96" s="3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2"/>
      <c r="J97" s="2"/>
      <c r="K97" s="3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2"/>
      <c r="J98" s="2"/>
      <c r="K98" s="3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2"/>
      <c r="J99" s="2"/>
      <c r="K99" s="3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3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3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3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3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3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3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3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3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3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3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3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3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3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3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3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3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3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3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3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3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3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3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3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3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3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3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3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3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3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3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3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3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3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3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3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3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3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3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3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3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3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3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3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3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3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3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3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3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3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3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3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3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3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3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3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3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3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3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3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3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3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3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3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3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3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3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3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3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3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3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3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3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3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3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3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3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3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3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3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3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3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3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3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3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3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3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3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3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3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3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3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3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3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3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3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3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3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3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3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3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3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3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3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3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3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3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3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3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3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3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3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3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3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3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2"/>
      <c r="J214" s="2"/>
      <c r="K214" s="3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2"/>
      <c r="J215" s="2"/>
      <c r="K215" s="3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2"/>
      <c r="J216" s="2"/>
      <c r="K216" s="3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2"/>
      <c r="J217" s="2"/>
      <c r="K217" s="3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2"/>
      <c r="J218" s="2"/>
      <c r="K218" s="3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2"/>
      <c r="J219" s="2"/>
      <c r="K219" s="3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2"/>
      <c r="J220" s="2"/>
      <c r="K220" s="3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2"/>
      <c r="J221" s="2"/>
      <c r="K221" s="3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2"/>
      <c r="J222" s="2"/>
      <c r="K222" s="3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2"/>
      <c r="J223" s="2"/>
      <c r="K223" s="3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2"/>
      <c r="J224" s="2"/>
      <c r="K224" s="3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2"/>
      <c r="J225" s="2"/>
      <c r="K225" s="3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2"/>
      <c r="J226" s="2"/>
      <c r="K226" s="3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2"/>
      <c r="J227" s="2"/>
      <c r="K227" s="3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2"/>
      <c r="J228" s="2"/>
      <c r="K228" s="3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2"/>
      <c r="J229" s="2"/>
      <c r="K229" s="3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2"/>
      <c r="J230" s="2"/>
      <c r="K230" s="3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2"/>
      <c r="J231" s="2"/>
      <c r="K231" s="3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2"/>
      <c r="J232" s="2"/>
      <c r="K232" s="3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2"/>
      <c r="J233" s="2"/>
      <c r="K233" s="3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2"/>
      <c r="J234" s="2"/>
      <c r="K234" s="3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2"/>
      <c r="J235" s="2"/>
      <c r="K235" s="3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2"/>
      <c r="J236" s="2"/>
      <c r="K236" s="3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1">
    <mergeCell ref="B3:O3"/>
  </mergeCells>
  <phoneticPr fontId="17" type="noConversion"/>
  <conditionalFormatting sqref="L6:L27">
    <cfRule type="colorScale" priority="1">
      <colorScale>
        <cfvo type="min"/>
        <cfvo type="max"/>
        <color rgb="FF57BB8A"/>
        <color rgb="FFFFFFFF"/>
      </colorScale>
    </cfRule>
  </conditionalFormatting>
  <dataValidations count="2">
    <dataValidation type="list" allowBlank="1" showErrorMessage="1" sqref="L6:L27" xr:uid="{00000000-0002-0000-0000-000000000000}">
      <formula1>$L$33:$L$36</formula1>
    </dataValidation>
    <dataValidation type="list" allowBlank="1" showErrorMessage="1" sqref="K6:K27" xr:uid="{00000000-0002-0000-0000-000001000000}">
      <formula1>$K$33:$K$35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00"/>
  <sheetViews>
    <sheetView showGridLines="0" topLeftCell="A6" workbookViewId="0">
      <selection activeCell="C10" sqref="C10"/>
    </sheetView>
  </sheetViews>
  <sheetFormatPr defaultColWidth="12.69921875" defaultRowHeight="15" customHeight="1" x14ac:dyDescent="0.25"/>
  <cols>
    <col min="1" max="1" width="9.3984375" customWidth="1"/>
    <col min="2" max="2" width="2.69921875" customWidth="1"/>
    <col min="3" max="15" width="10.69921875" customWidth="1"/>
    <col min="16" max="16" width="2.69921875" customWidth="1"/>
    <col min="17" max="26" width="9.3984375" customWidth="1"/>
  </cols>
  <sheetData>
    <row r="2" spans="1:26" ht="15" hidden="1" customHeight="1" x14ac:dyDescent="0.25"/>
    <row r="3" spans="1:26" ht="15" hidden="1" customHeight="1" x14ac:dyDescent="0.25"/>
    <row r="4" spans="1:26" ht="14.4" hidden="1" x14ac:dyDescent="0.3">
      <c r="C4" s="17"/>
      <c r="D4" s="17"/>
      <c r="E4" s="17"/>
      <c r="F4" s="18"/>
    </row>
    <row r="5" spans="1:26" ht="14.4" hidden="1" x14ac:dyDescent="0.3">
      <c r="C5" s="17"/>
      <c r="D5" s="17"/>
      <c r="E5" s="17"/>
      <c r="F5" s="18"/>
    </row>
    <row r="6" spans="1:26" ht="39.75" customHeight="1" x14ac:dyDescent="0.25">
      <c r="B6" s="72" t="s">
        <v>23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2"/>
    </row>
    <row r="7" spans="1:26" ht="9.75" customHeight="1" x14ac:dyDescent="0.25">
      <c r="A7" s="19"/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9.75" customHeight="1" x14ac:dyDescent="0.3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  <c r="Q8" s="19"/>
    </row>
    <row r="9" spans="1:26" ht="30" customHeight="1" x14ac:dyDescent="0.25">
      <c r="B9" s="26"/>
      <c r="C9" s="27" t="s">
        <v>1</v>
      </c>
      <c r="D9" s="28"/>
      <c r="E9" s="73" t="s">
        <v>24</v>
      </c>
      <c r="F9" s="52"/>
      <c r="G9" s="28"/>
      <c r="H9" s="73" t="s">
        <v>11</v>
      </c>
      <c r="I9" s="52"/>
      <c r="J9" s="29"/>
      <c r="K9" s="29"/>
      <c r="L9" s="29"/>
      <c r="M9" s="29"/>
      <c r="N9" s="29"/>
      <c r="O9" s="29"/>
      <c r="P9" s="30"/>
      <c r="Q9" s="19"/>
    </row>
    <row r="10" spans="1:26" ht="30" customHeight="1" x14ac:dyDescent="0.25">
      <c r="B10" s="26"/>
      <c r="C10" s="31" t="s">
        <v>15</v>
      </c>
      <c r="D10" s="32"/>
      <c r="E10" s="74" t="str">
        <f>VLOOKUP(C10,'Formato descripción HU'!B6:O23,5,0)</f>
        <v>Propietario</v>
      </c>
      <c r="F10" s="52"/>
      <c r="G10" s="33"/>
      <c r="H10" s="74" t="str">
        <f>VLOOKUP(C10,'Formato descripción HU'!B6:O23,11,0)</f>
        <v>No iniciado</v>
      </c>
      <c r="I10" s="52"/>
      <c r="J10" s="33"/>
      <c r="K10" s="29"/>
      <c r="L10" s="29"/>
      <c r="M10" s="29"/>
      <c r="N10" s="29"/>
      <c r="O10" s="29"/>
      <c r="P10" s="30"/>
      <c r="Q10" s="19"/>
    </row>
    <row r="11" spans="1:26" ht="9.75" customHeight="1" x14ac:dyDescent="0.25">
      <c r="A11" s="19"/>
      <c r="B11" s="26"/>
      <c r="C11" s="34"/>
      <c r="D11" s="32"/>
      <c r="E11" s="35"/>
      <c r="F11" s="35"/>
      <c r="G11" s="33"/>
      <c r="H11" s="35"/>
      <c r="I11" s="35"/>
      <c r="J11" s="33"/>
      <c r="K11" s="35"/>
      <c r="L11" s="35"/>
      <c r="M11" s="29"/>
      <c r="N11" s="35"/>
      <c r="O11" s="35"/>
      <c r="P11" s="30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30" customHeight="1" x14ac:dyDescent="0.25">
      <c r="A12" s="19"/>
      <c r="B12" s="26"/>
      <c r="C12" s="27" t="s">
        <v>25</v>
      </c>
      <c r="D12" s="32"/>
      <c r="E12" s="73" t="s">
        <v>10</v>
      </c>
      <c r="F12" s="52"/>
      <c r="G12" s="33"/>
      <c r="H12" s="73" t="s">
        <v>26</v>
      </c>
      <c r="I12" s="52"/>
      <c r="J12" s="33"/>
      <c r="K12" s="35"/>
      <c r="L12" s="35"/>
      <c r="M12" s="29"/>
      <c r="N12" s="35"/>
      <c r="O12" s="35"/>
      <c r="P12" s="30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30" customHeight="1" x14ac:dyDescent="0.25">
      <c r="A13" s="19"/>
      <c r="B13" s="26"/>
      <c r="C13" s="31">
        <f ca="1">VLOOKUP('Historia de Usuario'!C10,'Formato descripción HU'!B6:O23,8,0)</f>
        <v>6</v>
      </c>
      <c r="D13" s="32"/>
      <c r="E13" s="74" t="str">
        <f>VLOOKUP(C10,'Formato descripción HU'!B6:O23,10,0)</f>
        <v>Alta</v>
      </c>
      <c r="F13" s="52"/>
      <c r="G13" s="33"/>
      <c r="H13" s="74" t="str">
        <f>VLOOKUP(C10,'Formato descripción HU'!B6:O23,7,0)</f>
        <v>Leonardo Narvaez</v>
      </c>
      <c r="I13" s="52"/>
      <c r="J13" s="33"/>
      <c r="K13" s="35"/>
      <c r="L13" s="35"/>
      <c r="M13" s="29"/>
      <c r="N13" s="35"/>
      <c r="O13" s="35"/>
      <c r="P13" s="30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9.75" customHeight="1" x14ac:dyDescent="0.25">
      <c r="A14" s="19"/>
      <c r="B14" s="26"/>
      <c r="C14" s="29"/>
      <c r="D14" s="32"/>
      <c r="E14" s="29"/>
      <c r="F14" s="29"/>
      <c r="G14" s="33"/>
      <c r="H14" s="33"/>
      <c r="I14" s="29"/>
      <c r="J14" s="29"/>
      <c r="K14" s="29"/>
      <c r="L14" s="29"/>
      <c r="M14" s="29"/>
      <c r="N14" s="29"/>
      <c r="O14" s="29"/>
      <c r="P14" s="30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9.5" customHeight="1" x14ac:dyDescent="0.25">
      <c r="A15" s="19"/>
      <c r="B15" s="26"/>
      <c r="C15" s="53" t="s">
        <v>27</v>
      </c>
      <c r="D15" s="75" t="str">
        <f>VLOOKUP(C10,'Formato descripción HU'!B6:O23,3,0)</f>
        <v>Registrar nombre, precios, país de origen, stock e imagen del producto</v>
      </c>
      <c r="E15" s="57"/>
      <c r="F15" s="36"/>
      <c r="G15" s="53" t="s">
        <v>28</v>
      </c>
      <c r="H15" s="75" t="str">
        <f>VLOOKUP(C10,'Formato descripción HU'!B6:O23,4,0)</f>
        <v>Para gestionar el inventario y controlar productos disponibles</v>
      </c>
      <c r="I15" s="76"/>
      <c r="J15" s="57"/>
      <c r="K15" s="36"/>
      <c r="L15" s="53" t="s">
        <v>29</v>
      </c>
      <c r="M15" s="79" t="str">
        <f>VLOOKUP(C10,'Formato descripción HU'!B6:O23,6,0)</f>
        <v>Ingresar datos del producto en formulario, el sistema genera código automático y valida información antes de guardar</v>
      </c>
      <c r="N15" s="64"/>
      <c r="O15" s="65"/>
      <c r="P15" s="30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9.5" customHeight="1" x14ac:dyDescent="0.25">
      <c r="A16" s="19"/>
      <c r="B16" s="26"/>
      <c r="C16" s="54"/>
      <c r="D16" s="61"/>
      <c r="E16" s="62"/>
      <c r="F16" s="36"/>
      <c r="G16" s="54"/>
      <c r="H16" s="61"/>
      <c r="I16" s="77"/>
      <c r="J16" s="62"/>
      <c r="K16" s="36"/>
      <c r="L16" s="54"/>
      <c r="M16" s="66"/>
      <c r="N16" s="67"/>
      <c r="O16" s="68"/>
      <c r="P16" s="30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9.5" customHeight="1" x14ac:dyDescent="0.25">
      <c r="A17" s="19"/>
      <c r="B17" s="26"/>
      <c r="C17" s="55"/>
      <c r="D17" s="58"/>
      <c r="E17" s="59"/>
      <c r="F17" s="36"/>
      <c r="G17" s="55"/>
      <c r="H17" s="58"/>
      <c r="I17" s="78"/>
      <c r="J17" s="59"/>
      <c r="K17" s="36"/>
      <c r="L17" s="55"/>
      <c r="M17" s="69"/>
      <c r="N17" s="70"/>
      <c r="O17" s="71"/>
      <c r="P17" s="30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9.75" customHeight="1" x14ac:dyDescent="0.25">
      <c r="A18" s="19"/>
      <c r="B18" s="26"/>
      <c r="C18" s="29"/>
      <c r="D18" s="29"/>
      <c r="E18" s="29"/>
      <c r="F18" s="29"/>
      <c r="G18" s="33"/>
      <c r="H18" s="33"/>
      <c r="I18" s="33"/>
      <c r="J18" s="29"/>
      <c r="K18" s="29"/>
      <c r="L18" s="29"/>
      <c r="M18" s="29"/>
      <c r="N18" s="29"/>
      <c r="O18" s="29"/>
      <c r="P18" s="30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9.5" customHeight="1" x14ac:dyDescent="0.25">
      <c r="B19" s="26"/>
      <c r="C19" s="56" t="s">
        <v>30</v>
      </c>
      <c r="D19" s="57"/>
      <c r="E19" s="80" t="str">
        <f>VLOOKUP(C10,'Formato descripción HU'!B6:O23,14,0)</f>
        <v>Registrar Producto</v>
      </c>
      <c r="F19" s="81"/>
      <c r="G19" s="81"/>
      <c r="H19" s="81"/>
      <c r="I19" s="81"/>
      <c r="J19" s="81"/>
      <c r="K19" s="81"/>
      <c r="L19" s="81"/>
      <c r="M19" s="81"/>
      <c r="N19" s="81"/>
      <c r="O19" s="82"/>
      <c r="P19" s="30"/>
      <c r="Q19" s="19"/>
    </row>
    <row r="20" spans="1:26" ht="19.5" customHeight="1" x14ac:dyDescent="0.25">
      <c r="B20" s="26"/>
      <c r="C20" s="58"/>
      <c r="D20" s="59"/>
      <c r="E20" s="83"/>
      <c r="F20" s="84"/>
      <c r="G20" s="84"/>
      <c r="H20" s="84"/>
      <c r="I20" s="84"/>
      <c r="J20" s="84"/>
      <c r="K20" s="84"/>
      <c r="L20" s="84"/>
      <c r="M20" s="84"/>
      <c r="N20" s="84"/>
      <c r="O20" s="85"/>
      <c r="P20" s="30"/>
      <c r="Q20" s="19"/>
    </row>
    <row r="21" spans="1:26" ht="9.75" customHeight="1" x14ac:dyDescent="0.25">
      <c r="B21" s="26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30"/>
      <c r="Q21" s="19"/>
    </row>
    <row r="22" spans="1:26" ht="19.5" customHeight="1" x14ac:dyDescent="0.25">
      <c r="A22" s="19"/>
      <c r="B22" s="26"/>
      <c r="C22" s="60" t="s">
        <v>31</v>
      </c>
      <c r="D22" s="57"/>
      <c r="E22" s="63" t="str">
        <f>VLOOKUP(C10,'Formato descripción HU'!B6:O23,12,0)</f>
        <v>Validar campos obligatorios, rangos de precios (0.01-99.99), stock mayor a 0. Verificar código único generado y mensaje de confirmación.</v>
      </c>
      <c r="F22" s="64"/>
      <c r="G22" s="64"/>
      <c r="H22" s="65"/>
      <c r="I22" s="29"/>
      <c r="J22" s="60" t="s">
        <v>13</v>
      </c>
      <c r="K22" s="57"/>
      <c r="L22" s="75" t="str">
        <f>VLOOKUP(C10,'Formato descripción HU'!B6:O23,13,0)</f>
        <v>Códigos de producto no se reutilizan al eliminar</v>
      </c>
      <c r="M22" s="64"/>
      <c r="N22" s="64"/>
      <c r="O22" s="65"/>
      <c r="P22" s="30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9.5" customHeight="1" x14ac:dyDescent="0.25">
      <c r="A23" s="19"/>
      <c r="B23" s="26"/>
      <c r="C23" s="61"/>
      <c r="D23" s="62"/>
      <c r="E23" s="66"/>
      <c r="F23" s="67"/>
      <c r="G23" s="67"/>
      <c r="H23" s="68"/>
      <c r="I23" s="29"/>
      <c r="J23" s="61"/>
      <c r="K23" s="62"/>
      <c r="L23" s="66"/>
      <c r="M23" s="67"/>
      <c r="N23" s="67"/>
      <c r="O23" s="68"/>
      <c r="P23" s="30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9.5" customHeight="1" x14ac:dyDescent="0.25">
      <c r="A24" s="19"/>
      <c r="B24" s="26"/>
      <c r="C24" s="58"/>
      <c r="D24" s="59"/>
      <c r="E24" s="69"/>
      <c r="F24" s="70"/>
      <c r="G24" s="70"/>
      <c r="H24" s="71"/>
      <c r="I24" s="29"/>
      <c r="J24" s="58"/>
      <c r="K24" s="59"/>
      <c r="L24" s="69"/>
      <c r="M24" s="70"/>
      <c r="N24" s="70"/>
      <c r="O24" s="71"/>
      <c r="P24" s="30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9.75" customHeight="1" x14ac:dyDescent="0.25">
      <c r="A25" s="19"/>
      <c r="B25" s="37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9.5" customHeight="1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9.5" customHeight="1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9.5" customHeight="1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9.5" customHeight="1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9.5" customHeight="1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9.5" customHeight="1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9.5" customHeight="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9.5" customHeight="1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9.5" customHeight="1" x14ac:dyDescent="0.25"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</row>
    <row r="35" spans="1:26" ht="19.5" customHeight="1" x14ac:dyDescent="0.25"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</row>
    <row r="36" spans="1:26" ht="19.5" customHeight="1" x14ac:dyDescent="0.25"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</row>
    <row r="37" spans="1:26" ht="19.5" customHeight="1" x14ac:dyDescent="0.25"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</row>
    <row r="38" spans="1:26" ht="19.5" customHeight="1" x14ac:dyDescent="0.25"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</row>
    <row r="39" spans="1:26" ht="19.5" customHeight="1" x14ac:dyDescent="0.25"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</row>
    <row r="40" spans="1:26" ht="19.5" customHeight="1" x14ac:dyDescent="0.25"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</row>
    <row r="41" spans="1:26" ht="19.5" customHeight="1" x14ac:dyDescent="0.25"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</row>
    <row r="42" spans="1:26" ht="19.5" customHeight="1" x14ac:dyDescent="0.25"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</row>
    <row r="43" spans="1:26" ht="19.5" customHeight="1" x14ac:dyDescent="0.25"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</row>
    <row r="44" spans="1:26" ht="19.5" customHeight="1" x14ac:dyDescent="0.25"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</row>
    <row r="45" spans="1:26" ht="19.5" customHeight="1" x14ac:dyDescent="0.25"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</row>
    <row r="46" spans="1:26" ht="19.5" customHeight="1" x14ac:dyDescent="0.25"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</row>
    <row r="47" spans="1:26" ht="19.5" customHeight="1" x14ac:dyDescent="0.25"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</row>
    <row r="48" spans="1:26" ht="19.5" customHeight="1" x14ac:dyDescent="0.25"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</row>
    <row r="49" spans="3:16" ht="19.5" customHeight="1" x14ac:dyDescent="0.25"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</row>
    <row r="50" spans="3:16" ht="19.5" customHeight="1" x14ac:dyDescent="0.25"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</row>
    <row r="51" spans="3:16" ht="19.5" customHeight="1" x14ac:dyDescent="0.25"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</row>
    <row r="52" spans="3:16" ht="19.5" customHeight="1" x14ac:dyDescent="0.25"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</row>
    <row r="53" spans="3:16" ht="19.5" customHeight="1" x14ac:dyDescent="0.25"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</row>
    <row r="54" spans="3:16" ht="19.5" customHeight="1" x14ac:dyDescent="0.25"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</row>
    <row r="55" spans="3:16" ht="15.75" customHeight="1" x14ac:dyDescent="0.25"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</row>
    <row r="56" spans="3:16" ht="15.75" customHeight="1" x14ac:dyDescent="0.25"/>
    <row r="57" spans="3:16" ht="15.75" customHeight="1" x14ac:dyDescent="0.25"/>
    <row r="58" spans="3:16" ht="15.75" customHeight="1" x14ac:dyDescent="0.25"/>
    <row r="59" spans="3:16" ht="15.75" customHeight="1" x14ac:dyDescent="0.25"/>
    <row r="60" spans="3:16" ht="15.75" customHeight="1" x14ac:dyDescent="0.25"/>
    <row r="61" spans="3:16" ht="15.75" customHeight="1" x14ac:dyDescent="0.25"/>
    <row r="62" spans="3:16" ht="15.75" customHeight="1" x14ac:dyDescent="0.25"/>
    <row r="63" spans="3:16" ht="15.75" customHeight="1" x14ac:dyDescent="0.25"/>
    <row r="64" spans="3:1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HU'!$B$6:$B$23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DYNABOOK</dc:creator>
  <cp:lastModifiedBy>ALEJANDRO CAETANO FLORES MAYA</cp:lastModifiedBy>
  <dcterms:created xsi:type="dcterms:W3CDTF">2025-11-11T12:29:14Z</dcterms:created>
  <dcterms:modified xsi:type="dcterms:W3CDTF">2025-11-18T12:13:49Z</dcterms:modified>
</cp:coreProperties>
</file>